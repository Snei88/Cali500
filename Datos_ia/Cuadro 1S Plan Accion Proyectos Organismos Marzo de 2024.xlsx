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24226"/>
  <mc:AlternateContent xmlns:mc="http://schemas.openxmlformats.org/markup-compatibility/2006">
    <mc:Choice Requires="x15">
      <x15ac:absPath xmlns:x15ac="http://schemas.microsoft.com/office/spreadsheetml/2010/11/ac" url="C:\Users\ASUS TP301UA-DW275T\Downloads\"/>
    </mc:Choice>
  </mc:AlternateContent>
  <xr:revisionPtr revIDLastSave="0" documentId="13_ncr:1_{D527A243-5844-4DF5-9DD7-9024A693F948}" xr6:coauthVersionLast="47" xr6:coauthVersionMax="47" xr10:uidLastSave="{00000000-0000-0000-0000-000000000000}"/>
  <bookViews>
    <workbookView xWindow="-120" yWindow="-120" windowWidth="20730" windowHeight="11160" tabRatio="589" activeTab="1" xr2:uid="{00000000-000D-0000-FFFF-FFFF00000000}"/>
  </bookViews>
  <sheets>
    <sheet name="Marzo de 2024" sheetId="5" r:id="rId1"/>
    <sheet name="4132 Planeacion" sheetId="41" r:id="rId2"/>
  </sheets>
  <definedNames>
    <definedName name="_xlnm._FilterDatabase" localSheetId="1" hidden="1">'4132 Planeacion'!$A$5:$Y$6</definedName>
    <definedName name="datos">#N/A</definedName>
    <definedName name="_xlnm.Print_Titles" localSheetId="1">'4132 Planeacion'!$2:$6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5" l="1"/>
  <c r="D10" i="5"/>
  <c r="E10" i="5"/>
  <c r="J10" i="5"/>
  <c r="K10" i="5"/>
  <c r="C140" i="41" l="1"/>
  <c r="U138" i="41"/>
  <c r="T138" i="41"/>
  <c r="U137" i="41"/>
  <c r="T137" i="41"/>
  <c r="T136" i="41"/>
  <c r="S136" i="41"/>
  <c r="U136" i="41" s="1"/>
  <c r="R136" i="41"/>
  <c r="Q136" i="41"/>
  <c r="P136" i="41"/>
  <c r="N136" i="41"/>
  <c r="O136" i="41" s="1"/>
  <c r="M136" i="41"/>
  <c r="L136" i="41"/>
  <c r="K136" i="41"/>
  <c r="U133" i="41"/>
  <c r="T133" i="41"/>
  <c r="T132" i="41"/>
  <c r="S132" i="41"/>
  <c r="U132" i="41" s="1"/>
  <c r="R132" i="41"/>
  <c r="Q132" i="41"/>
  <c r="O132" i="41" s="1"/>
  <c r="P132" i="41"/>
  <c r="N132" i="41"/>
  <c r="M132" i="41"/>
  <c r="L132" i="41"/>
  <c r="K132" i="41"/>
  <c r="U130" i="41"/>
  <c r="T130" i="41"/>
  <c r="S129" i="41"/>
  <c r="R129" i="41"/>
  <c r="U129" i="41" s="1"/>
  <c r="Q129" i="41"/>
  <c r="O129" i="41" s="1"/>
  <c r="P129" i="41"/>
  <c r="N129" i="41"/>
  <c r="M129" i="41"/>
  <c r="L129" i="41"/>
  <c r="K129" i="41"/>
  <c r="U127" i="41"/>
  <c r="T127" i="41"/>
  <c r="S126" i="41"/>
  <c r="R126" i="41"/>
  <c r="U126" i="41" s="1"/>
  <c r="Q126" i="41"/>
  <c r="T126" i="41" s="1"/>
  <c r="P126" i="41"/>
  <c r="N126" i="41"/>
  <c r="O126" i="41" s="1"/>
  <c r="M126" i="41"/>
  <c r="L126" i="41"/>
  <c r="K126" i="41"/>
  <c r="U124" i="41"/>
  <c r="T124" i="41"/>
  <c r="U123" i="41"/>
  <c r="T123" i="41"/>
  <c r="S122" i="41"/>
  <c r="R122" i="41"/>
  <c r="U122" i="41" s="1"/>
  <c r="Q122" i="41"/>
  <c r="T122" i="41" s="1"/>
  <c r="P122" i="41"/>
  <c r="N122" i="41"/>
  <c r="O122" i="41" s="1"/>
  <c r="M122" i="41"/>
  <c r="L122" i="41"/>
  <c r="K122" i="41"/>
  <c r="U120" i="41"/>
  <c r="T120" i="41"/>
  <c r="U119" i="41"/>
  <c r="T119" i="41"/>
  <c r="U118" i="41"/>
  <c r="T118" i="41"/>
  <c r="U117" i="41"/>
  <c r="T117" i="41"/>
  <c r="S116" i="41"/>
  <c r="R116" i="41"/>
  <c r="U116" i="41" s="1"/>
  <c r="Q116" i="41"/>
  <c r="T116" i="41" s="1"/>
  <c r="P116" i="41"/>
  <c r="O116" i="41"/>
  <c r="N116" i="41"/>
  <c r="M116" i="41"/>
  <c r="L116" i="41"/>
  <c r="K116" i="41"/>
  <c r="U114" i="41"/>
  <c r="T114" i="41"/>
  <c r="U113" i="41"/>
  <c r="T113" i="41"/>
  <c r="U112" i="41"/>
  <c r="T112" i="41"/>
  <c r="S111" i="41"/>
  <c r="R111" i="41"/>
  <c r="U111" i="41" s="1"/>
  <c r="Q111" i="41"/>
  <c r="O111" i="41" s="1"/>
  <c r="P111" i="41"/>
  <c r="N111" i="41"/>
  <c r="M111" i="41"/>
  <c r="L111" i="41"/>
  <c r="K111" i="41"/>
  <c r="U109" i="41"/>
  <c r="U108" i="41"/>
  <c r="T108" i="41"/>
  <c r="U107" i="41"/>
  <c r="T107" i="41"/>
  <c r="U106" i="41"/>
  <c r="T106" i="41"/>
  <c r="S105" i="41"/>
  <c r="R105" i="41"/>
  <c r="T105" i="41" s="1"/>
  <c r="Q105" i="41"/>
  <c r="P105" i="41"/>
  <c r="O105" i="41"/>
  <c r="N105" i="41"/>
  <c r="M105" i="41"/>
  <c r="L105" i="41"/>
  <c r="U103" i="41"/>
  <c r="T103" i="41"/>
  <c r="U102" i="41"/>
  <c r="T102" i="41"/>
  <c r="S101" i="41"/>
  <c r="R101" i="41"/>
  <c r="U101" i="41" s="1"/>
  <c r="Q101" i="41"/>
  <c r="O101" i="41" s="1"/>
  <c r="P101" i="41"/>
  <c r="N101" i="41"/>
  <c r="M101" i="41"/>
  <c r="L101" i="41"/>
  <c r="K101" i="41"/>
  <c r="U99" i="41"/>
  <c r="T99" i="41"/>
  <c r="U98" i="41"/>
  <c r="T98" i="41"/>
  <c r="U97" i="41"/>
  <c r="T97" i="41"/>
  <c r="S96" i="41"/>
  <c r="R96" i="41"/>
  <c r="U96" i="41" s="1"/>
  <c r="Q96" i="41"/>
  <c r="O96" i="41" s="1"/>
  <c r="P96" i="41"/>
  <c r="N96" i="41"/>
  <c r="M96" i="41"/>
  <c r="L96" i="41"/>
  <c r="K96" i="41"/>
  <c r="U94" i="41"/>
  <c r="T94" i="41"/>
  <c r="U93" i="41"/>
  <c r="T93" i="41"/>
  <c r="S92" i="41"/>
  <c r="R92" i="41"/>
  <c r="U92" i="41" s="1"/>
  <c r="Q92" i="41"/>
  <c r="O92" i="41" s="1"/>
  <c r="P92" i="41"/>
  <c r="N92" i="41"/>
  <c r="M92" i="41"/>
  <c r="L92" i="41"/>
  <c r="K92" i="41"/>
  <c r="U91" i="41"/>
  <c r="T91" i="41"/>
  <c r="U90" i="41"/>
  <c r="T90" i="41"/>
  <c r="S89" i="41"/>
  <c r="R89" i="41"/>
  <c r="U89" i="41" s="1"/>
  <c r="Q89" i="41"/>
  <c r="T89" i="41" s="1"/>
  <c r="P89" i="41"/>
  <c r="O89" i="41"/>
  <c r="N89" i="41"/>
  <c r="M89" i="41"/>
  <c r="L89" i="41"/>
  <c r="U86" i="41"/>
  <c r="T86" i="41"/>
  <c r="U85" i="41"/>
  <c r="T85" i="41"/>
  <c r="U84" i="41"/>
  <c r="T84" i="41"/>
  <c r="S83" i="41"/>
  <c r="R83" i="41"/>
  <c r="U83" i="41" s="1"/>
  <c r="Q83" i="41"/>
  <c r="T83" i="41" s="1"/>
  <c r="P83" i="41"/>
  <c r="O83" i="41"/>
  <c r="N83" i="41"/>
  <c r="M83" i="41"/>
  <c r="L83" i="41"/>
  <c r="K83" i="41"/>
  <c r="U81" i="41"/>
  <c r="T81" i="41"/>
  <c r="S80" i="41"/>
  <c r="R80" i="41"/>
  <c r="U80" i="41" s="1"/>
  <c r="Q80" i="41"/>
  <c r="T80" i="41" s="1"/>
  <c r="P80" i="41"/>
  <c r="N80" i="41"/>
  <c r="O80" i="41" s="1"/>
  <c r="M80" i="41"/>
  <c r="K80" i="41"/>
  <c r="U78" i="41"/>
  <c r="T78" i="41"/>
  <c r="U77" i="41"/>
  <c r="S77" i="41"/>
  <c r="R77" i="41"/>
  <c r="Q77" i="41"/>
  <c r="T77" i="41" s="1"/>
  <c r="P77" i="41"/>
  <c r="N77" i="41"/>
  <c r="O77" i="41" s="1"/>
  <c r="M77" i="41"/>
  <c r="L77" i="41"/>
  <c r="K77" i="41"/>
  <c r="U75" i="41"/>
  <c r="T75" i="41"/>
  <c r="S74" i="41"/>
  <c r="R74" i="41"/>
  <c r="Q74" i="41"/>
  <c r="O74" i="41" s="1"/>
  <c r="P74" i="41"/>
  <c r="N74" i="41"/>
  <c r="M74" i="41"/>
  <c r="U73" i="41"/>
  <c r="T73" i="41"/>
  <c r="U72" i="41"/>
  <c r="T72" i="41"/>
  <c r="U71" i="41"/>
  <c r="T71" i="41"/>
  <c r="S70" i="41"/>
  <c r="R70" i="41"/>
  <c r="U70" i="41" s="1"/>
  <c r="Q70" i="41"/>
  <c r="P70" i="41"/>
  <c r="O70" i="41"/>
  <c r="N70" i="41"/>
  <c r="M70" i="41"/>
  <c r="L70" i="41"/>
  <c r="K70" i="41"/>
  <c r="U65" i="41"/>
  <c r="T65" i="41"/>
  <c r="U64" i="41"/>
  <c r="T64" i="41"/>
  <c r="S63" i="41"/>
  <c r="R63" i="41"/>
  <c r="U63" i="41" s="1"/>
  <c r="Q63" i="41"/>
  <c r="O63" i="41" s="1"/>
  <c r="P63" i="41"/>
  <c r="N63" i="41"/>
  <c r="M63" i="41"/>
  <c r="K63" i="41"/>
  <c r="U58" i="41"/>
  <c r="T58" i="41"/>
  <c r="U57" i="41"/>
  <c r="T57" i="41"/>
  <c r="U56" i="41"/>
  <c r="T56" i="41"/>
  <c r="S55" i="41"/>
  <c r="R55" i="41"/>
  <c r="U55" i="41" s="1"/>
  <c r="Q55" i="41"/>
  <c r="O55" i="41" s="1"/>
  <c r="P55" i="41"/>
  <c r="N55" i="41"/>
  <c r="M55" i="41"/>
  <c r="L55" i="41"/>
  <c r="K55" i="41"/>
  <c r="U51" i="41"/>
  <c r="T51" i="41"/>
  <c r="S50" i="41"/>
  <c r="R50" i="41"/>
  <c r="U50" i="41" s="1"/>
  <c r="Q50" i="41"/>
  <c r="T50" i="41" s="1"/>
  <c r="P50" i="41"/>
  <c r="N50" i="41"/>
  <c r="O50" i="41" s="1"/>
  <c r="M50" i="41"/>
  <c r="L50" i="41"/>
  <c r="K50" i="41"/>
  <c r="U45" i="41"/>
  <c r="T45" i="41"/>
  <c r="U44" i="41"/>
  <c r="T44" i="41"/>
  <c r="S43" i="41"/>
  <c r="R43" i="41"/>
  <c r="U43" i="41" s="1"/>
  <c r="Q43" i="41"/>
  <c r="T43" i="41" s="1"/>
  <c r="P43" i="41"/>
  <c r="N43" i="41"/>
  <c r="O43" i="41" s="1"/>
  <c r="L43" i="41"/>
  <c r="K43" i="41"/>
  <c r="U41" i="41"/>
  <c r="T41" i="41"/>
  <c r="S40" i="41"/>
  <c r="R40" i="41"/>
  <c r="U40" i="41" s="1"/>
  <c r="Q40" i="41"/>
  <c r="T40" i="41" s="1"/>
  <c r="P40" i="41"/>
  <c r="N40" i="41"/>
  <c r="O40" i="41" s="1"/>
  <c r="M40" i="41"/>
  <c r="L40" i="41"/>
  <c r="K40" i="41"/>
  <c r="U37" i="41"/>
  <c r="T37" i="41"/>
  <c r="U36" i="41"/>
  <c r="T36" i="41"/>
  <c r="U35" i="41"/>
  <c r="S35" i="41"/>
  <c r="R35" i="41"/>
  <c r="Q35" i="41"/>
  <c r="T35" i="41" s="1"/>
  <c r="P35" i="41"/>
  <c r="N35" i="41"/>
  <c r="O35" i="41" s="1"/>
  <c r="M35" i="41"/>
  <c r="L35" i="41"/>
  <c r="U32" i="41"/>
  <c r="T32" i="41"/>
  <c r="U31" i="41"/>
  <c r="T31" i="41"/>
  <c r="S31" i="41"/>
  <c r="R31" i="41"/>
  <c r="Q31" i="41"/>
  <c r="O31" i="41" s="1"/>
  <c r="P31" i="41"/>
  <c r="N31" i="41"/>
  <c r="M31" i="41"/>
  <c r="L31" i="41"/>
  <c r="K31" i="41"/>
  <c r="U28" i="41"/>
  <c r="T28" i="41"/>
  <c r="S27" i="41"/>
  <c r="R27" i="41"/>
  <c r="U27" i="41" s="1"/>
  <c r="Q27" i="41"/>
  <c r="O27" i="41" s="1"/>
  <c r="P27" i="41"/>
  <c r="N27" i="41"/>
  <c r="M27" i="41"/>
  <c r="L27" i="41"/>
  <c r="K27" i="41"/>
  <c r="U25" i="41"/>
  <c r="T25" i="41"/>
  <c r="S24" i="41"/>
  <c r="R24" i="41"/>
  <c r="U24" i="41" s="1"/>
  <c r="Q24" i="41"/>
  <c r="T24" i="41" s="1"/>
  <c r="P24" i="41"/>
  <c r="N24" i="41"/>
  <c r="O24" i="41" s="1"/>
  <c r="M24" i="41"/>
  <c r="L24" i="41"/>
  <c r="K24" i="41"/>
  <c r="U22" i="41"/>
  <c r="T22" i="41"/>
  <c r="S21" i="41"/>
  <c r="R21" i="41"/>
  <c r="U21" i="41" s="1"/>
  <c r="Q21" i="41"/>
  <c r="T21" i="41" s="1"/>
  <c r="P21" i="41"/>
  <c r="N21" i="41"/>
  <c r="O21" i="41" s="1"/>
  <c r="M21" i="41"/>
  <c r="L21" i="41"/>
  <c r="K21" i="41"/>
  <c r="U16" i="41"/>
  <c r="T16" i="41"/>
  <c r="U15" i="41"/>
  <c r="T15" i="41"/>
  <c r="S14" i="41"/>
  <c r="S140" i="41" s="1"/>
  <c r="S142" i="41" s="1"/>
  <c r="R14" i="41"/>
  <c r="U14" i="41" s="1"/>
  <c r="Q14" i="41"/>
  <c r="T14" i="41" s="1"/>
  <c r="P14" i="41"/>
  <c r="P140" i="41" s="1"/>
  <c r="P142" i="41" s="1"/>
  <c r="N14" i="41"/>
  <c r="O14" i="41" s="1"/>
  <c r="M14" i="41"/>
  <c r="L14" i="41"/>
  <c r="K14" i="41"/>
  <c r="U12" i="41"/>
  <c r="T12" i="41"/>
  <c r="U11" i="41"/>
  <c r="T11" i="41"/>
  <c r="S11" i="41"/>
  <c r="R11" i="41"/>
  <c r="Q11" i="41"/>
  <c r="P11" i="41"/>
  <c r="N11" i="41"/>
  <c r="O11" i="41" s="1"/>
  <c r="M11" i="41"/>
  <c r="L11" i="41"/>
  <c r="K11" i="41"/>
  <c r="O141" i="41" l="1"/>
  <c r="O140" i="41"/>
  <c r="G140" i="41"/>
  <c r="T70" i="41"/>
  <c r="T27" i="41"/>
  <c r="T55" i="41"/>
  <c r="T63" i="41"/>
  <c r="T96" i="41"/>
  <c r="U105" i="41"/>
  <c r="T92" i="41"/>
  <c r="T101" i="41"/>
  <c r="T111" i="41"/>
  <c r="T129" i="41"/>
  <c r="Q140" i="41"/>
  <c r="Q142" i="41" s="1"/>
  <c r="R140" i="41"/>
  <c r="R142" i="41" s="1"/>
  <c r="I12" i="5" l="1"/>
  <c r="H12" i="5"/>
  <c r="G12" i="5"/>
  <c r="F12" i="5"/>
  <c r="J12" i="5" l="1"/>
  <c r="B27" i="5" s="1"/>
  <c r="B31" i="5" s="1"/>
  <c r="K12" i="5"/>
  <c r="B44" i="5" s="1"/>
  <c r="B48" i="5" s="1"/>
  <c r="C31" i="5" l="1"/>
  <c r="C48" i="5"/>
  <c r="C12" i="5"/>
  <c r="D12" i="5" l="1"/>
  <c r="E12" i="5" l="1"/>
  <c r="G32" i="5" s="1"/>
  <c r="H36" i="5" s="1"/>
  <c r="G3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GUIDO ESCOBAR</author>
  </authors>
  <commentList>
    <comment ref="L5" authorId="0" shapeId="0" xr:uid="{00000000-0006-0000-0700-000001000000}">
      <text>
        <r>
          <rPr>
            <b/>
            <sz val="9"/>
            <color indexed="81"/>
            <rFont val="Tahoma"/>
            <family val="2"/>
          </rPr>
          <t>GUIDO ESCOBAR:</t>
        </r>
        <r>
          <rPr>
            <sz val="9"/>
            <color indexed="81"/>
            <rFont val="Tahoma"/>
            <family val="2"/>
          </rPr>
          <t xml:space="preserve">
Formato Porcentaje, 1 decimal</t>
        </r>
      </text>
    </comment>
    <comment ref="N5" authorId="0" shapeId="0" xr:uid="{00000000-0006-0000-0700-000002000000}">
      <text>
        <r>
          <rPr>
            <b/>
            <sz val="9"/>
            <color indexed="81"/>
            <rFont val="Tahoma"/>
            <family val="2"/>
          </rPr>
          <t>GUIDO ESCOBAR:</t>
        </r>
        <r>
          <rPr>
            <sz val="9"/>
            <color indexed="81"/>
            <rFont val="Tahoma"/>
            <family val="2"/>
          </rPr>
          <t xml:space="preserve">
Formato Porcentaje, 1 decimal</t>
        </r>
      </text>
    </comment>
    <comment ref="O5" authorId="0" shapeId="0" xr:uid="{00000000-0006-0000-0700-000003000000}">
      <text>
        <r>
          <rPr>
            <b/>
            <sz val="9"/>
            <color indexed="81"/>
            <rFont val="Tahoma"/>
            <family val="2"/>
          </rPr>
          <t>GUIDO ESCOBAR:</t>
        </r>
        <r>
          <rPr>
            <sz val="9"/>
            <color indexed="81"/>
            <rFont val="Tahoma"/>
            <family val="2"/>
          </rPr>
          <t xml:space="preserve">
Formato Porcentaje, 1 decimal</t>
        </r>
      </text>
    </comment>
    <comment ref="R5" authorId="0" shapeId="0" xr:uid="{00000000-0006-0000-0700-000004000000}">
      <text>
        <r>
          <rPr>
            <b/>
            <sz val="9"/>
            <color indexed="81"/>
            <rFont val="Tahoma"/>
            <family val="2"/>
          </rPr>
          <t>GUIDO ESCOBAR:</t>
        </r>
        <r>
          <rPr>
            <sz val="9"/>
            <color indexed="81"/>
            <rFont val="Tahoma"/>
            <family val="2"/>
          </rPr>
          <t xml:space="preserve">
Corresponde al valor del RPC</t>
        </r>
      </text>
    </comment>
    <comment ref="S5" authorId="0" shapeId="0" xr:uid="{00000000-0006-0000-0700-000005000000}">
      <text>
        <r>
          <rPr>
            <b/>
            <sz val="9"/>
            <color indexed="81"/>
            <rFont val="Tahoma"/>
            <family val="2"/>
          </rPr>
          <t>GUIDO ESCOBAR:</t>
        </r>
        <r>
          <rPr>
            <sz val="9"/>
            <color indexed="81"/>
            <rFont val="Tahoma"/>
            <family val="2"/>
          </rPr>
          <t xml:space="preserve">
Corresponde a lo efectivamente pagado.</t>
        </r>
      </text>
    </comment>
    <comment ref="T5" authorId="0" shapeId="0" xr:uid="{00000000-0006-0000-0700-000006000000}">
      <text>
        <r>
          <rPr>
            <b/>
            <sz val="9"/>
            <color indexed="81"/>
            <rFont val="Tahoma"/>
            <family val="2"/>
          </rPr>
          <t>GUIDO ESCOBAR:</t>
        </r>
        <r>
          <rPr>
            <sz val="9"/>
            <color indexed="81"/>
            <rFont val="Tahoma"/>
            <family val="2"/>
          </rPr>
          <t xml:space="preserve">
Formato Porcentaje, 1 decimal</t>
        </r>
      </text>
    </comment>
    <comment ref="U5" authorId="0" shapeId="0" xr:uid="{00000000-0006-0000-0700-000007000000}">
      <text>
        <r>
          <rPr>
            <b/>
            <sz val="9"/>
            <color indexed="81"/>
            <rFont val="Tahoma"/>
            <family val="2"/>
          </rPr>
          <t>GUIDO ESCOBAR:</t>
        </r>
        <r>
          <rPr>
            <sz val="9"/>
            <color indexed="81"/>
            <rFont val="Tahoma"/>
            <family val="2"/>
          </rPr>
          <t xml:space="preserve">
Formato Porcentaje, 1 decimal</t>
        </r>
      </text>
    </comment>
  </commentList>
</comments>
</file>

<file path=xl/sharedStrings.xml><?xml version="1.0" encoding="utf-8"?>
<sst xmlns="http://schemas.openxmlformats.org/spreadsheetml/2006/main" count="513" uniqueCount="364">
  <si>
    <t>Explicación del avance o retraso</t>
  </si>
  <si>
    <t>Presupuesto inicial
(Pesos)</t>
  </si>
  <si>
    <t>Clasificación (BP)</t>
  </si>
  <si>
    <t>Clase</t>
  </si>
  <si>
    <t>Código general</t>
  </si>
  <si>
    <t>Vigencia:</t>
  </si>
  <si>
    <t>Día / Mes / Año (Inicio)</t>
  </si>
  <si>
    <t>Día / Mes / Año (Finali-zación)</t>
  </si>
  <si>
    <t>Meta de producto del proyecto (Descripción)</t>
  </si>
  <si>
    <t>Indicador de producto del proyecto (Descripción)</t>
  </si>
  <si>
    <t>Valor de la meta de producto del proyecto</t>
  </si>
  <si>
    <t>Ponderación producto
 (%)</t>
  </si>
  <si>
    <t xml:space="preserve">% de ejecución física de los productos del proyecto
</t>
  </si>
  <si>
    <t>Presupuesto definitivo
(Pesos)
(1)</t>
  </si>
  <si>
    <t>Presupuesto ejecutado
(Pesos)
(2)</t>
  </si>
  <si>
    <t>% de ejecución presupuestal
(2) / (1)</t>
  </si>
  <si>
    <t>Presupuesto pagos
(Pesos)
(3)</t>
  </si>
  <si>
    <t>Fecha de reporte:</t>
  </si>
  <si>
    <t>DEPARTAMENTO ADMINISTRATIVO DE PLANEACION</t>
  </si>
  <si>
    <t xml:space="preserve">Inicial              </t>
  </si>
  <si>
    <t xml:space="preserve">Definitivo      </t>
  </si>
  <si>
    <t>Ejecutado</t>
  </si>
  <si>
    <t>% ejecución</t>
  </si>
  <si>
    <t>TOTAL</t>
  </si>
  <si>
    <t>Parámetros velocímetro</t>
  </si>
  <si>
    <t>Título</t>
  </si>
  <si>
    <t>Segmento</t>
  </si>
  <si>
    <t>Grados1</t>
  </si>
  <si>
    <t>Puntos</t>
  </si>
  <si>
    <t>X</t>
  </si>
  <si>
    <t>Y</t>
  </si>
  <si>
    <t>Punto 1</t>
  </si>
  <si>
    <t>Punto 2</t>
  </si>
  <si>
    <t>Grados2</t>
  </si>
  <si>
    <t>Código</t>
  </si>
  <si>
    <t>4132</t>
  </si>
  <si>
    <t>Departamento Administrativo de Planeacion</t>
  </si>
  <si>
    <t>Proyectos</t>
  </si>
  <si>
    <t>% Ejecución física</t>
  </si>
  <si>
    <t>Pagos</t>
  </si>
  <si>
    <t>% pagos</t>
  </si>
  <si>
    <t>Grados3</t>
  </si>
  <si>
    <t>DEPARTAMENTO ADMINISTRATIVO DE PLANEACIÓN</t>
  </si>
  <si>
    <t>Pesos</t>
  </si>
  <si>
    <t>Total</t>
  </si>
  <si>
    <t>Ejecu-tado</t>
  </si>
  <si>
    <t>Presupuesto Administración Central</t>
  </si>
  <si>
    <t>Fuente: Departamento Administrativo de Hacienda, Departamento Administrativo de Planeación y resto de Organismos</t>
  </si>
  <si>
    <t>Organismo</t>
  </si>
  <si>
    <t>Ejecución física, ejecución presupuestal y pagos según organismo, administración central</t>
  </si>
  <si>
    <t>% de avance del proyecto</t>
  </si>
  <si>
    <t>ORGANISMO</t>
  </si>
  <si>
    <t>Código organismo</t>
  </si>
  <si>
    <t xml:space="preserve">Meta a alcanzar Plan Indicativo
</t>
  </si>
  <si>
    <t>Organismo responsable
(Reparto administrativo)</t>
  </si>
  <si>
    <t>Valor de la ejecución del producto del proyecto</t>
  </si>
  <si>
    <t>% de ejecución con pagos
(3) / (2)</t>
  </si>
  <si>
    <t>Santiago de Cali</t>
  </si>
  <si>
    <t>Indicador de resultado del proyecto (Descripción)</t>
  </si>
  <si>
    <t>Valor Indicador de resultado del proyecto</t>
  </si>
  <si>
    <t>Identificación de la dimensión, línea estratégica, programa, indicador y proyectos de inversión</t>
  </si>
  <si>
    <t>D</t>
  </si>
  <si>
    <t>L</t>
  </si>
  <si>
    <t>P</t>
  </si>
  <si>
    <t>I</t>
  </si>
  <si>
    <t>Personas capacitadas</t>
  </si>
  <si>
    <t>Documentos de planeación realizados</t>
  </si>
  <si>
    <t>pr</t>
  </si>
  <si>
    <t>Documentos de lineamientos técnicos realizados</t>
  </si>
  <si>
    <t>Servicios de información actualizados</t>
  </si>
  <si>
    <t>Proyectos desfinanciados</t>
  </si>
  <si>
    <t>Avance físico</t>
  </si>
  <si>
    <t>Documentos de investigación realizados</t>
  </si>
  <si>
    <t>Transición hacia Distrito Especial</t>
  </si>
  <si>
    <t>Entidades, organismos y dependencias asistidos técnicamente</t>
  </si>
  <si>
    <t>Documentos metodológicos realizados</t>
  </si>
  <si>
    <t>Elaborar 1 documento de investigación</t>
  </si>
  <si>
    <t>Documentos de investigación elaborados</t>
  </si>
  <si>
    <t>Sistemas de información implementados</t>
  </si>
  <si>
    <t>Proyectos con ejecución fisica en 0 %</t>
  </si>
  <si>
    <t xml:space="preserve">Cali, Inteligente para la Vida </t>
  </si>
  <si>
    <t xml:space="preserve">Territorio Inteligente </t>
  </si>
  <si>
    <t xml:space="preserve">Cali Inteligente </t>
  </si>
  <si>
    <t>Mobiliario urbano instalado con mantenimiento y reposición</t>
  </si>
  <si>
    <t>BP26003392</t>
  </si>
  <si>
    <t>Mejoramiento de mobiliarios urbanos con mantenimiento y reposicion en Santiago de Cali</t>
  </si>
  <si>
    <t xml:space="preserve">Espacio publico adecuado  </t>
  </si>
  <si>
    <t>Departamento Administrativo de Planeación - Subdirección de Espacio Público y Ordenamiento Urbanístico</t>
  </si>
  <si>
    <t xml:space="preserve">Procesos y trámites urbanísticos automatizados </t>
  </si>
  <si>
    <t>BP26003447</t>
  </si>
  <si>
    <t>Servicios tecnológicos. (Desarollar 1 sistema integral de automatización de información urbanística.)</t>
  </si>
  <si>
    <t>Índice de capacidad en la prestación de servcios de tecnología</t>
  </si>
  <si>
    <t>Procesos y trámites urbanísticos automatizados</t>
  </si>
  <si>
    <t xml:space="preserve">Implementar 1 Servicio de información </t>
  </si>
  <si>
    <t>Cali, Solidaria por la Vida</t>
  </si>
  <si>
    <t>Territorios para la Vida</t>
  </si>
  <si>
    <t>Espacio Público para la Integración Socio-Ecológica</t>
  </si>
  <si>
    <t>Intervenciones de espacio público diseñadas</t>
  </si>
  <si>
    <t>Estudios o diseños realizados</t>
  </si>
  <si>
    <t xml:space="preserve">Plan Maestro de Espacio Público - PMEP ajustado y adoptado </t>
  </si>
  <si>
    <t>BP26003448</t>
  </si>
  <si>
    <t>Departamento Administrativo de Planeación Municipal - Subdirección de Planificación del Territorio</t>
  </si>
  <si>
    <t>Documentos de lineamientos técnicos elaborados</t>
  </si>
  <si>
    <t>Inventario de publicidad exterior visual actualizado y mantenido</t>
  </si>
  <si>
    <t>BP26003396</t>
  </si>
  <si>
    <t>Inventario de la publicidad Exterior visual de Santiago de Cali</t>
  </si>
  <si>
    <t>Bases de datos de la Temática de Servicios Generadas</t>
  </si>
  <si>
    <t>Equipamientos para el Desarrollo y el Bienestar</t>
  </si>
  <si>
    <t xml:space="preserve">Plan Maestro de Equipamientos ajustado y adoptado </t>
  </si>
  <si>
    <t>Asistencia tecnica para la instrumentación del sistema de Equipamientos en Santiago de cali</t>
  </si>
  <si>
    <t>BP26003450</t>
  </si>
  <si>
    <t>Prestación de Servicios Públicos Domiciliarios</t>
  </si>
  <si>
    <t xml:space="preserve">Plan Maestro de Servicios Públicos Domiciliarios y TIC formulado y adoptado </t>
  </si>
  <si>
    <t>Formulacion Plan Director de Servicios Públicos Domiciliarios y TIC de Cali</t>
  </si>
  <si>
    <t>BP26003397</t>
  </si>
  <si>
    <t>Plan Maestro de Servicios Públicos Domiciliarios y TIC formulado y adoptado</t>
  </si>
  <si>
    <t>Documentos de lineamientos tecnicos elaborados</t>
  </si>
  <si>
    <t>Salvaguarda y Protección del Patrimonio Cultural</t>
  </si>
  <si>
    <t>Actualización del inventario de bienes de interés cultural (BIC) de Santiago de cali</t>
  </si>
  <si>
    <t>BP26003451</t>
  </si>
  <si>
    <t>Documentos normativos realizados</t>
  </si>
  <si>
    <t>Cali, por Nuestra Casa Común</t>
  </si>
  <si>
    <t xml:space="preserve">Mitigación del Cambio Climático </t>
  </si>
  <si>
    <t xml:space="preserve">Gestión Integral de Residuos Sólidos </t>
  </si>
  <si>
    <t>Estudios para la planificación de la gestión integral de residuos sólidos, la prestación del servicio público de aseo y sus actividades complementarias elaborados</t>
  </si>
  <si>
    <t>Fortalecimiento de la Planificación de la Gestión Integral de Residuos Sólidos de Santiago de Cali</t>
  </si>
  <si>
    <t>BP26003405</t>
  </si>
  <si>
    <t>Movilidad Multimodal Sustentable</t>
  </si>
  <si>
    <t>Regulación, Control y Gestión Inteligente del Tránsito</t>
  </si>
  <si>
    <t xml:space="preserve">Planes especiales zonales de gestión del estacionamiento formulados </t>
  </si>
  <si>
    <t>Consolidación del modelo de movilidad sostenible en Santiago de Cali.</t>
  </si>
  <si>
    <t>BP26003413</t>
  </si>
  <si>
    <t>Planes especiales zonales de gestión del estacionamiento formulados</t>
  </si>
  <si>
    <t>Cali, Gobierno Incluyente</t>
  </si>
  <si>
    <t>Implementación de Cali Distrito</t>
  </si>
  <si>
    <t>BP26003416</t>
  </si>
  <si>
    <t>Unidades de planificación urbana y rural formuladas y adoptadas</t>
  </si>
  <si>
    <t>Formulación de las unidades de planificación urbana y rural de Santiago de Cali</t>
  </si>
  <si>
    <t>BP26003418</t>
  </si>
  <si>
    <t>Documentos de planeación elaborados</t>
  </si>
  <si>
    <t>Departamento Administrativo de Planeación - Subdirección de Desarrollo Integral</t>
  </si>
  <si>
    <t>Planes de Desarrollo de nivel territorial y distrital con seguimiento y evaluación</t>
  </si>
  <si>
    <t>Fortalecimiento al seguimiento de los Planes de Desarrollo Distrital y Territoriales de Santiago de Cali</t>
  </si>
  <si>
    <t>BP26003422</t>
  </si>
  <si>
    <t>Documento de política elaborados</t>
  </si>
  <si>
    <t>Políticas públicas, evaluadas</t>
  </si>
  <si>
    <t>Asistencia para el seguimiento y evaluación de los procesos de políticas públicas de Cali</t>
  </si>
  <si>
    <t>BP26003458</t>
  </si>
  <si>
    <t>Solicitudes de encuesta Sisbén, atendidas</t>
  </si>
  <si>
    <t>Apoyo al sistema de identificación de potenciales beneficiarios de programas sociales - sisbén en Santiago de Cali</t>
  </si>
  <si>
    <t>BP26002520</t>
  </si>
  <si>
    <t>Hogares que realizaron la encuesta</t>
  </si>
  <si>
    <t>Sistemas de información actualizados</t>
  </si>
  <si>
    <t>Archivo Municipal de Datos, actualizado</t>
  </si>
  <si>
    <t>Implementación del Plan Estadístico Territorial de Cali</t>
  </si>
  <si>
    <t>BP26003425</t>
  </si>
  <si>
    <t>Elaborar 3 documentos metodológicos</t>
  </si>
  <si>
    <t>Elaborar 1 documento de lineamiento técnico</t>
  </si>
  <si>
    <t>Sistema de Indicadores Sociales actualizado</t>
  </si>
  <si>
    <t>Actualización del Sistema de Indicadores de Santiago de Cali</t>
  </si>
  <si>
    <t>BP26003423</t>
  </si>
  <si>
    <t>Actualizar 1 sistema de informaciòn (Actualizar el 100% de los indicadores)</t>
  </si>
  <si>
    <t xml:space="preserve">Documentos con estadísticas básicas del Distrito, publicados </t>
  </si>
  <si>
    <t>Actualización de Estudios para la Planificación en Cali</t>
  </si>
  <si>
    <t>BP26003463</t>
  </si>
  <si>
    <t>Actualizar las cuentas económicas municipales de Cali</t>
  </si>
  <si>
    <t xml:space="preserve">Boletines Técnicos de la Temática Cuentas Nacionales producidos </t>
  </si>
  <si>
    <t xml:space="preserve">Boletines Técnicos de la Temática Demografía y Población producidos </t>
  </si>
  <si>
    <t>Documentos metodológicos elaborados</t>
  </si>
  <si>
    <t>Base de datos de Estratificación urbana y rural actualizada</t>
  </si>
  <si>
    <t>Actualización de la estratificación socioeconómica en Santiago de Cali</t>
  </si>
  <si>
    <t>BP26003429</t>
  </si>
  <si>
    <t>Actualizar 1 base de datos (100%) de Estratificación urbana y rural</t>
  </si>
  <si>
    <t>Base de datos del censo de Población y Vivienda Producidas</t>
  </si>
  <si>
    <t>Elaborar 200 documentos de lineamientos técnicos</t>
  </si>
  <si>
    <t xml:space="preserve">Documentos de lineamientos técnicos realizados </t>
  </si>
  <si>
    <t>Registros de la base de datos de Nomenclatura de Cali actualizados</t>
  </si>
  <si>
    <t>Actualización de los registros de la base de datos de nomenclatura Cali</t>
  </si>
  <si>
    <t>BP26003431</t>
  </si>
  <si>
    <t>Sistemas de Información Actualizados</t>
  </si>
  <si>
    <t>Fortalecimiento de la infraestructura de datos espaciales de Santiago de Cali</t>
  </si>
  <si>
    <t>BP26003464</t>
  </si>
  <si>
    <t>Servicios Web Geográficos y Productos de Información Geográfica en la plataforma tecnológica de la Infraestructura de Datos Espaciales de Santiago de Cali - IDESC disponibles.</t>
  </si>
  <si>
    <t>Número de sistemas de información</t>
  </si>
  <si>
    <t xml:space="preserve">Estudios de preinversión de proyectos estratégicos del plan de desarrollo elaborados </t>
  </si>
  <si>
    <t>Fortalecimiento en la estructuración de proyectos de inversión en Santiago de Cali</t>
  </si>
  <si>
    <t>Sistema de la Información y la Infraestructura Tecnológica</t>
  </si>
  <si>
    <t>Sistema de información actualizado</t>
  </si>
  <si>
    <t>Sistema de información de control urbanístico implementado y mantenido</t>
  </si>
  <si>
    <t>Implementación del Sistema de información geográfico de control de licencias urbanísticas de Cali</t>
  </si>
  <si>
    <t>BP26003470</t>
  </si>
  <si>
    <t>Implementar 1 sistema de información. (Construir un sistema de clasificación, organización y seguimiento de áreas de espacio público (cedido y adecuado) resultantes de las licencias urbanísticas expedidas.)</t>
  </si>
  <si>
    <t>Sistema de información implementado</t>
  </si>
  <si>
    <t>Actualizar 1 Servicio de información.(Articular los organismos que manejan información sobre el cumplimiento de obligaciones urbanísticas impuestas en las licencias de urbanización.)</t>
  </si>
  <si>
    <t xml:space="preserve"> </t>
  </si>
  <si>
    <t>Gestión del Riesgo</t>
  </si>
  <si>
    <t>Personas Capacitadas</t>
  </si>
  <si>
    <t>Documentos de revisión y ajuste del POT elaborados</t>
  </si>
  <si>
    <t>Actualización del plan de ordenamiento territorial de Santiago de Cali</t>
  </si>
  <si>
    <t>BP26002493</t>
  </si>
  <si>
    <t>BP2600339210101</t>
  </si>
  <si>
    <t>BP2600344710201</t>
  </si>
  <si>
    <t>BP2600344710202</t>
  </si>
  <si>
    <t>BP2600344810201</t>
  </si>
  <si>
    <t>BP2600339610101</t>
  </si>
  <si>
    <t>BP2600345010201</t>
  </si>
  <si>
    <t>BP2600339710201</t>
  </si>
  <si>
    <t>BP2600345110101</t>
  </si>
  <si>
    <t>BP2600340510101</t>
  </si>
  <si>
    <t>BP2600341310201</t>
  </si>
  <si>
    <t>BP2600341310301</t>
  </si>
  <si>
    <t>BP2600341610102</t>
  </si>
  <si>
    <t>BP2600249310101</t>
  </si>
  <si>
    <t>BP2600341810201</t>
  </si>
  <si>
    <t>BP2600342210101</t>
  </si>
  <si>
    <t>BP2600342210201</t>
  </si>
  <si>
    <t>BP2600345810301</t>
  </si>
  <si>
    <t>BP2600252010101</t>
  </si>
  <si>
    <t>BP2600252010201</t>
  </si>
  <si>
    <t>BP2600342510101</t>
  </si>
  <si>
    <t>BP2600342510202</t>
  </si>
  <si>
    <t>BP2600342510301</t>
  </si>
  <si>
    <t>BP2600342510401</t>
  </si>
  <si>
    <t>BP2600342310101</t>
  </si>
  <si>
    <t>BP2600342310201</t>
  </si>
  <si>
    <t>BP2600342310301</t>
  </si>
  <si>
    <t>BP2600346310101</t>
  </si>
  <si>
    <t>BP2600346310102</t>
  </si>
  <si>
    <t>BP2600346310201</t>
  </si>
  <si>
    <t>BP2600342910101</t>
  </si>
  <si>
    <t>BP2600342910201</t>
  </si>
  <si>
    <t>BP2600343110101</t>
  </si>
  <si>
    <t>BP2600346410101</t>
  </si>
  <si>
    <t>BP2600347010101</t>
  </si>
  <si>
    <t>BP2600347010201</t>
  </si>
  <si>
    <t>Adecuar 1,500 espacios públicos (Realizar mantenimiento y reposición a 1.500 mobiliarios urbanos )</t>
  </si>
  <si>
    <t xml:space="preserve">	
Apoyo en la automatización   de procesos y tramites urbanísticos en Santiago de Calí</t>
  </si>
  <si>
    <t>Asistencia tecnica para la instrumentación del distema de espacio Público de Santiago de cali</t>
  </si>
  <si>
    <t>Elaborar  2 Documento de lineamientos técnicos (1-documento técnico diagnostico,2-documento técnico de formulación)</t>
  </si>
  <si>
    <t>Generar 1 base de datos de la Temática de Servicios (Genera 1 base de datos de Publicidad Exterior Visual de Cali)</t>
  </si>
  <si>
    <t>Planes Especiales de Manejo y Protección Galería Santa Elena y San Antonio laborados</t>
  </si>
  <si>
    <t>Planes Especiales de Manejo y Protección Galeria Santa Elena y San Antocio Elaborados</t>
  </si>
  <si>
    <t>Inventario de bienes de interés cultural, material, BIC actualizado y registrado en el SIPA</t>
  </si>
  <si>
    <t>Actualizar el inventario de Bienes de Interés Cultural material BIC</t>
  </si>
  <si>
    <t>Elaborar 1 documento de planeación con seguimiento (Evaluar 1 Plan de Gestión Integral de Residuos Sólidos - PGIRS de Santiago de Cali)</t>
  </si>
  <si>
    <t>Realizar  documento normativo realizados</t>
  </si>
  <si>
    <t>Realizar documentos de planeación  realizados</t>
  </si>
  <si>
    <t>Conocimiento del Riesgo</t>
  </si>
  <si>
    <t>Estudios de riesgo de desastres elaborados</t>
  </si>
  <si>
    <t>Estudios básicos y detallados sobre movimientos en masa ajustados</t>
  </si>
  <si>
    <t>Estudios de amenazas, vulnerabilidades y riesgos por movimientos en masa en la zona de ladera urbana y rural de Cali</t>
  </si>
  <si>
    <t>BP26003406</t>
  </si>
  <si>
    <t>BP2600340610301</t>
  </si>
  <si>
    <t>Realizar 470 documentos normativos (Elaborar 470 conceptos sobre condiciones de amenaza o riesgo)</t>
  </si>
  <si>
    <t xml:space="preserve">Modelo de división político-administrativa del Distrito Especial revisado y adoptado </t>
  </si>
  <si>
    <t>Asistencia para la definicion del modelo de integración polìtico administrativo en localidades del distrito especial de Santiago de Cali</t>
  </si>
  <si>
    <t xml:space="preserve">Gestión de información estadística y geográfica para la evaluación de resultados </t>
  </si>
  <si>
    <t>BP2600345810101</t>
  </si>
  <si>
    <t>BP2600345810201</t>
  </si>
  <si>
    <t>Personas capacitadas: se desarrolla asistencia técnica a los equipos de los organismos Formuladores y Coordinadores de Política Pública en el proceso de formulación de planes de acción e indicadores de corto, mediano y largo plazo, o indicadores de producto, resultado e impacto</t>
  </si>
  <si>
    <t>Actualizar 1 sistema de información.(Operación y administración del sisben.)</t>
  </si>
  <si>
    <t>Elaborar 10 documentos de investigación (Registros administrativos)</t>
  </si>
  <si>
    <t>Documentos con estadísticas básicas del Distrito publicados</t>
  </si>
  <si>
    <t>Elaborar 1 Boletin Técnico de la Temática Demografía y Población (Elaborar Documento con Estadisticas básicas del distrito)</t>
  </si>
  <si>
    <t>BP2600346310103</t>
  </si>
  <si>
    <t>Documentos de estudios potcensales temáticas demográficas y poblacionales producidos</t>
  </si>
  <si>
    <t>Elaborar 2 documentos metodológicos (Publicar 2 documentos)</t>
  </si>
  <si>
    <t>Actualizar 1 Servicio de Información (Actualizar el 100% de la BD de la  nomenclatura vial y domiciliaria de Cali)</t>
  </si>
  <si>
    <t xml:space="preserve">Servicios Web Geográficos y productos de información geográfica en la plataforma tecnológica de la Infraestructura de Datos Espaciales de Santiago de Cali – IDESC disponibles </t>
  </si>
  <si>
    <t>Aumentar en 88 el numero de Servicio web geograficos de información geográfica, geodésica y cartográfica.</t>
  </si>
  <si>
    <t>BP26004541</t>
  </si>
  <si>
    <t>BP2600454110101</t>
  </si>
  <si>
    <t>Definir un marco normativo que oriente el desarrollo urbano de la  Galería Santa Elena y su correspondiente área de influencia, que permitan orientar las transformaciones de inmuebles como una posibilidad para su conservación en el ámbito de la aplicación del PEMP</t>
  </si>
  <si>
    <t>Instrumentos de planificación complementaria del plan de ordenamiento territorial, formulados y divulgados</t>
  </si>
  <si>
    <t>Asistencia técnica a los instrumentos de planificación complementarios de Cali</t>
  </si>
  <si>
    <t>BP26003417</t>
  </si>
  <si>
    <t>BP2600341710101</t>
  </si>
  <si>
    <t>A la fecha, se realizó el mantenimiento rutinario  de 250 elementos de mobiliario mayor y 94 de mobiliario menor,  adicionalmente se realizó la reposición de 16 elementos de mobiliario correspondientes a Mupis piedra, Copa y Reloj, a los componentes  : vidrios, kit eléctricos, marcos ,difusores ,laminas  Etc. que en el período comprendido de enero a marzo  se realizó el mantenimiento de 344 elementos de mobiliario y la reposición de 56 elementos para un total de 760</t>
  </si>
  <si>
    <t>Se contrataron profesionales para gestionar y trabajar en las actividades del tramite de Esquemas de Implantacion y Regularización EIR.</t>
  </si>
  <si>
    <t xml:space="preserve">
Diseño urbano, arquitectónico y paisajístico de espacios públicos a intervenir  en el Distrito Santiago de   Cali</t>
  </si>
  <si>
    <t>BP26004860</t>
  </si>
  <si>
    <t>BP2600486010101</t>
  </si>
  <si>
    <t>Realizar 40 estudios o diseños (Diseñar 40 intervenciones de espacio público)</t>
  </si>
  <si>
    <t>Al mes de marzo se cuenta con un avance del 5% del proyecto, correspondiente al Diseño urbano, arquitectónico y paisajístico de espacios públicos a intervenir  en el Distrito Santiago de   Cali correspondiente intervenciones de Urbanismo Tactico para la Recuperacion del centro de Cali. Barrio San Pedro de la Comuna 3 en el marco de las iniciativas Gerencia de Ciudad y fase de diagnostico e identificacion de espacios publicos potenciales a intervenir en el Distrito</t>
  </si>
  <si>
    <t xml:space="preserve">A la fecha se avanza el 0,2 % relacionado con la ejecucion de las actividades de articulación de información y bases de datos geográficas con el observatorio de espacio público </t>
  </si>
  <si>
    <t>Se verificó la existencia de 35 vallas publicitarias, donde una (1) valla es nueva. Se han otorgado 3 registros de publicidad exterior visual mayor -  vallas publicitarias en el transcurso del año y existen 198 registros vigentes que pueden ser consultados en la plataforma SAUL: https://saul.cali.gov.co/saul/vallas y el aplicativo de consulta de vallas: https://geoportal.cali.gov.co/arcgis/apps/webappviewer/index.html?id=cc78305853a54a8fb40d0cffc48cff7d</t>
  </si>
  <si>
    <t xml:space="preserve">Elaborar 1 Documento de lineamientos técnicos. </t>
  </si>
  <si>
    <t>A la fecha se avanza el 0,2 % en relación con las actividades de revisión y articulación de información del plan maestro de equipamientos</t>
  </si>
  <si>
    <t xml:space="preserve">Elaborar 1 documento de lineamientos técnicos. </t>
  </si>
  <si>
    <t>Durante el período actual, se relizarón las invitaciones a cotizar  de posibles consultores y se adelanto la primera versión de  estudios previos para la ejecución de las politicas publicas de Servicios Publicos en el marco del plan maestro de servicios publicos domiliarios y TIC.</t>
  </si>
  <si>
    <t>BP2600339710301</t>
  </si>
  <si>
    <t>Documentos de planeación</t>
  </si>
  <si>
    <t>Documentos de planeacion elaborados</t>
  </si>
  <si>
    <t>ormulación Del Plan Especial de Manejo y Protección - PEMP y sus estudios complementarios de la Plaza de Mercado de Santa Elena y su</t>
  </si>
  <si>
    <t>A la fecha, Se continuó con la revisión de los documentos existentes, con el fin de estructurar las siguientes etapas del proyecto para la adopción del Plan Especial de Manejo y Protección de Patrimonio de Santa Elena, así mismo, se elaboró el cronograma de la gestión social y predial que se debe hacer en el sector.</t>
  </si>
  <si>
    <t>Elaborar 40 Documentos normativos</t>
  </si>
  <si>
    <t xml:space="preserve">A la fecha las actividades realizadas con respecto a la actualización del inventario de bienes de interés cultural está relacionado con la recopilación de información del estado actual normativo y catastral de los BIC  y mapa de actores con el fin de generar una matriz resumen. Adicional se realizó mesa de trabajo con MinCultura </t>
  </si>
  <si>
    <t>BP2600345110102</t>
  </si>
  <si>
    <t>Elaborar 1 Documento de investigación realizado</t>
  </si>
  <si>
    <t>A la fecha, se revisaron trece (13) informes de dieciséis (16) organismos que deben reportar y cuatro (4) entidades externas. Con esta información, se inició con la elaboración del informe de seguimiento del PGIRS de la vigencia anterior, avanzando con el análisis de la implementación del programa institucional para la prestación del servicio público de aseo y en la solicitud de información complementaria en el caso de los organismos DAGMA y UAESP para el análisis de los programas de limpieza urbana, zonas ribereñas, recolección, transporte y transferencia.</t>
  </si>
  <si>
    <t>BP2600341310101</t>
  </si>
  <si>
    <t>Elaborar documentos de evaluación</t>
  </si>
  <si>
    <t>Realizar documentos de evaluación elaborados</t>
  </si>
  <si>
    <t>Elaborar 1 documento normativo</t>
  </si>
  <si>
    <t>Elaborar 1 Documentos de planeación</t>
  </si>
  <si>
    <t>A la fecha, se ha avanzado un 5%, correspondiente a la revisión de los proyectos de norma asociados a la explotación por estacionamiento en vía y fuera de vía y su contribución.</t>
  </si>
  <si>
    <t>BP2600340610101</t>
  </si>
  <si>
    <t>Estudios de riesgo de desastres</t>
  </si>
  <si>
    <t>A 29 de marzo de 2024 se avanzó en el inventario de estudios detallados disponibles y en la evaluación del marco normativo aplicable a su incorporación en el POT</t>
  </si>
  <si>
    <t>A 29 de marzo de 2024 y dentro del plazo previsto en las normas aplicables, se emitieron 86 conceptos sobre condiciones de amenaza / riesgo por fenómenos naturales peligrosos</t>
  </si>
  <si>
    <t>BP2600341610101</t>
  </si>
  <si>
    <t>Realizar 1 Documentos de lineamientos técnicos</t>
  </si>
  <si>
    <t xml:space="preserve">Elaborar 1 Documento metodológicos </t>
  </si>
  <si>
    <t>BP2600341610201</t>
  </si>
  <si>
    <t>Realizar Documentos normativos realizados</t>
  </si>
  <si>
    <t>Asistencia para la definición de apuestas estratégicas para potenciar las vocaciones del Distrito Especial, Deportivo, Cultura</t>
  </si>
  <si>
    <t>BP26004864</t>
  </si>
  <si>
    <t>BP2600486410101</t>
  </si>
  <si>
    <t>Durante  el período en curso  se continúa con las labores de planificación y organización de los documentos que permitan alcanzar el logro del indicador</t>
  </si>
  <si>
    <t>Elaborar  2 documentos de reglamentaciones normativas</t>
  </si>
  <si>
    <t>A la fecha, se continua realizando la revisión de información secundaria  existente necesaria para la definicion del instrumento de planificación, reglamentaciones, actulizacion de expedientes e indicadores</t>
  </si>
  <si>
    <t>A la fecha, se avanzó el 0,5% con relación a la revisión de los insumos disponibles para el desarrollo de los productos necesarios en el proceso de actualización del Plan de Ordenamiento Territorial y la elaboración del balance con el propósito de identificar la información requerida.</t>
  </si>
  <si>
    <t>BP2600341810101</t>
  </si>
  <si>
    <t>Elaboración de instrumentos para el desarrollo urbano y territorial</t>
  </si>
  <si>
    <t>Instrumentos normativos formulados</t>
  </si>
  <si>
    <t>1 documento de proyecto de acuerdo de las unidades de planificación rural y 3 fichas reglamentarias de programas y proyectos propuestos para las unidades de planificación rural</t>
  </si>
  <si>
    <t>BP2600341810301</t>
  </si>
  <si>
    <t>1 Documentos de lineamientos técnicos  elaborados</t>
  </si>
  <si>
    <t>Documentos de lineamientos técnicos  elaborados</t>
  </si>
  <si>
    <t>Asistir 31 organismos y dependencias tecnicamente</t>
  </si>
  <si>
    <t xml:space="preserve">Realizar seguimiento y evaluación a 38 Planes de Desarrollo de nivel territorial y distrital </t>
  </si>
  <si>
    <t>A la fecha, Se impartieron lineamientos a todos los organismos para la formulación PD Distrital y PDCC 2024-2027. Se actualizó el tablero de seguimiento del PD con la información acumulada al 2023 y de los 37 tableros del PDCC con la información 2020-2023</t>
  </si>
  <si>
    <t>Apoyo al proceso de planificación en el Distrito de Santiago  Cali</t>
  </si>
  <si>
    <t>BP26004863</t>
  </si>
  <si>
    <t>BP2600486310101</t>
  </si>
  <si>
    <t>Formular instrumentos de planificación.</t>
  </si>
  <si>
    <t xml:space="preserve">Documentos de planeación realizados
</t>
  </si>
  <si>
    <t>A la fecha, Se socializó la primera versión del PD que consta de 3 propósitos y 6 retos, incorporando  programa de gobierno, gerencia de ciudad y diálogos ciudadanos. Se identificó la relación entre las apuestas estrategias definidas por el despacho y los indicadores propuestos por los organismos para establecer una articulación entre ellos.</t>
  </si>
  <si>
    <t>BP2600486310201</t>
  </si>
  <si>
    <t>Asistir 67 organismos y dependencias tecnicamente</t>
  </si>
  <si>
    <t xml:space="preserve">Entidades, organismos y dependencias asistidos técnicamente
</t>
  </si>
  <si>
    <t>A la fecha, Se socializó cada uno de los retos a los directivos de los organismos, junto con los aportes de la academia y los lineamientos y recomendaciones para depuración del PI y ajuste a PPI.
Se definió y socializó metodología para el PDCC en 11 pasos y permite articulación con el PD Distrital. A la fecha se desarrolló el paso 8 en corregimientos y fase 1 en comunas, donde se priorizó indicadores de producto. Se trabajo con organismos y jefes de oficina CALI para la fase 2 que define alcance de las metas.</t>
  </si>
  <si>
    <t>Realizar 2 documentos metodológicos</t>
  </si>
  <si>
    <t>A la fecha, se brindó asistencia técnica a 42 personas; que responden a ejercicios de política de seguridad (5), paz y reconciliación (4), bienestar social (6) y temas referentes al acoso sexual (27).</t>
  </si>
  <si>
    <t>A la fecha se realiza revisión de insumos de políticas adoptadas y sus procedimientos para el desarrollo de un documento de investigación sobre sistemas de seguimiento y evaluación de políticas.</t>
  </si>
  <si>
    <t>Encuestar 79,200 hogares en Sisbén</t>
  </si>
  <si>
    <t>A la fecha, se realizaron 7276 encuestas discriminadas de la siguiente manera: enero 1966, febrero 4897 y marzo 2379 sobre el total encuestas radicadas las cuales fueron 10.541al corte del 7 demarzo de 2024.</t>
  </si>
  <si>
    <t>En el mes de marzo de 2024 se visitó los once (11) puntos de atención con con el fin de verificar el cumplimiento de la modificación 3 y la atención a la ciudadanía.</t>
  </si>
  <si>
    <t>A la fecha, Se proyectó circular N 4132.040.22.2.1020.000341 Convocatoria a mesa técnica del Comité Técnico de Gestión de Información Estadística para definir procesos estadísticos estratégicos para la planificación territorial en el marco del Plan de Desarrollo Distrital 2024-2027.</t>
  </si>
  <si>
    <t>A la fecha, Se adelantó el trabajo de revisión de las siguientes operaciones estadísticas para avanzar en el proceso de documentación:Caracterización de los beneficiarios de los programas de la Secretaría de Cultura del distrito de Santiago de Cali Caracterización de vendedores informales ubicados en espacios públicos de Santiago de Cali.</t>
  </si>
  <si>
    <t>Actualizar 2 sistemas de información (actualizar las OOEE y el AMDA)</t>
  </si>
  <si>
    <t xml:space="preserve">Realizar 4 capacitaciones. </t>
  </si>
  <si>
    <t>A la fecha, se realizó la revisión de  la matriz de Excel con el conjunto de indicadores estratégicos para los territorios así como fuentes de información para consulta y uso en los ejercicios de Planeación Territorial.</t>
  </si>
  <si>
    <t>Documentos de estudios potcensales temáticas demográficas y poblacionales (Proyecciones de población)</t>
  </si>
  <si>
    <t>Desde el mes de enero a la fecha se han revisado 2000 registros de nomenclatura de dentro de revisión de base de datos de propiedad horizontal (PH) y se revisó el sistema de nomenclatura vial de algunos sectores para detectar inconsistencias que requieran ajuste de nomenclatura</t>
  </si>
  <si>
    <t>En el momento se encuentra en proceso de revisión y planificación para el desarrollo de las actividades.</t>
  </si>
  <si>
    <t>BP26004865</t>
  </si>
  <si>
    <t>BP2600486510101</t>
  </si>
  <si>
    <t>Elaborar 2 documentos de planeación</t>
  </si>
  <si>
    <t>Documento de planeación realizados</t>
  </si>
  <si>
    <t xml:space="preserve">A la fecha, se realizó la revisión de los estudios del Bulevar de San Antonio y se dio revisó la viabilidad Contractual y Jurídica para la continuación del Proyecto El Paseo de Jovita al Río.  </t>
  </si>
  <si>
    <t>A la fecha, Se realizó la incorporación de datos del Sistema de Información Geográfico SIG-CLU, de licencias urbanísticas que se han estado investigando.</t>
  </si>
  <si>
    <t>A la fecha, Se avanzó con la  articulación con curaduria urbana 1, respecto a la interconexión y suministro de datos a traves del webservices que esta pendiente con dicho organismo.</t>
  </si>
  <si>
    <t>Enero - Marzo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</si>
</sst>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 #,##0_-;\-&quot;$&quot;\ * #,##0_-;_-&quot;$&quot;\ * &quot;-&quot;_-;_-@_-"/>
    <numFmt numFmtId="41" formatCode="_-* #,##0_-;\-* #,##0_-;_-* &quot;-&quot;_-;_-@_-"/>
    <numFmt numFmtId="43" formatCode="_-* #,##0.00_-;\-* #,##0.00_-;_-* &quot;-&quot;??_-;_-@_-"/>
    <numFmt numFmtId="164" formatCode="_-* #,##0\ _€_-;\-* #,##0\ _€_-;_-* &quot;-&quot;\ _€_-;_-@_-"/>
    <numFmt numFmtId="165" formatCode="_-* #,##0.00\ _€_-;\-* #,##0.00\ _€_-;_-* &quot;-&quot;??\ _€_-;_-@_-"/>
    <numFmt numFmtId="166" formatCode="_(&quot;$&quot;* #,##0_);_(&quot;$&quot;* \(#,##0\);_(&quot;$&quot;* &quot;-&quot;_);_(@_)"/>
    <numFmt numFmtId="167" formatCode="_(* #,##0_);_(* \(#,##0\);_(* &quot;-&quot;_);_(@_)"/>
    <numFmt numFmtId="168" formatCode="_(* #,##0.00_);_(* \(#,##0.00\);_(* &quot;-&quot;??_);_(@_)"/>
    <numFmt numFmtId="169" formatCode="_(&quot;$&quot;\ * #,##0.00_);_(&quot;$&quot;\ * \(#,##0.00\);_(&quot;$&quot;\ * &quot;-&quot;??_);_(@_)"/>
    <numFmt numFmtId="170" formatCode="_([$€]* #,##0.00_);_([$€]* \(#,##0.00\);_([$€]* &quot;-&quot;??_);_(@_)"/>
    <numFmt numFmtId="171" formatCode="_ [$€-2]\ * #,##0.00_ ;_ [$€-2]\ * \-#,##0.00_ ;_ [$€-2]\ * &quot;-&quot;??_ "/>
    <numFmt numFmtId="172" formatCode="0.0%"/>
    <numFmt numFmtId="173" formatCode="[$-240A]dddd\,\ dd&quot; de &quot;mmmm&quot; de &quot;yyyy"/>
    <numFmt numFmtId="174" formatCode="0.0000"/>
    <numFmt numFmtId="175" formatCode="0.000"/>
    <numFmt numFmtId="176" formatCode="[$-C0A]General"/>
    <numFmt numFmtId="177" formatCode="d/m/yyyy"/>
    <numFmt numFmtId="178" formatCode="_(&quot;$&quot;\ * #,##0_);_(&quot;$&quot;\ * \(#,##0\);_(&quot;$&quot;\ * &quot;-&quot;_);_(@_)"/>
    <numFmt numFmtId="179" formatCode="0.00;[Red]0.00"/>
  </numFmts>
  <fonts count="55" x14ac:knownFonts="1">
    <font>
      <sz val="11"/>
      <color theme="1"/>
      <name val="Calibri"/>
      <family val="2"/>
      <scheme val="minor"/>
    </font>
    <font>
      <sz val="11"/>
      <color indexed="8"/>
      <name val="Calibri"/>
      <family val="2"/>
    </font>
    <font>
      <sz val="11"/>
      <name val="Arial Narrow"/>
      <family val="2"/>
    </font>
    <font>
      <sz val="10"/>
      <name val="Arial"/>
      <family val="2"/>
    </font>
    <font>
      <b/>
      <sz val="11"/>
      <name val="Arial Narrow"/>
      <family val="2"/>
    </font>
    <font>
      <b/>
      <sz val="14"/>
      <name val="Arial Narrow"/>
      <family val="2"/>
    </font>
    <font>
      <b/>
      <sz val="12"/>
      <name val="Arial Narrow"/>
      <family val="2"/>
    </font>
    <font>
      <sz val="11"/>
      <color indexed="8"/>
      <name val="Calibri"/>
      <family val="2"/>
    </font>
    <font>
      <sz val="10"/>
      <name val="Arial Narrow"/>
      <family val="2"/>
    </font>
    <font>
      <sz val="9"/>
      <color indexed="81"/>
      <name val="Tahoma"/>
      <family val="2"/>
    </font>
    <font>
      <b/>
      <sz val="9"/>
      <color indexed="81"/>
      <name val="Tahoma"/>
      <family val="2"/>
    </font>
    <font>
      <sz val="9"/>
      <color indexed="8"/>
      <name val="Arial Narrow"/>
      <family val="2"/>
    </font>
    <font>
      <sz val="9"/>
      <name val="Arial"/>
      <family val="2"/>
    </font>
    <font>
      <b/>
      <sz val="10"/>
      <name val="Arial Narrow"/>
      <family val="2"/>
    </font>
    <font>
      <sz val="8"/>
      <name val="Arial Narrow"/>
      <family val="2"/>
    </font>
    <font>
      <sz val="7"/>
      <name val="Arial Narrow"/>
      <family val="2"/>
    </font>
    <font>
      <sz val="6"/>
      <name val="Arial Narrow"/>
      <family val="2"/>
    </font>
    <font>
      <sz val="11"/>
      <color indexed="8"/>
      <name val="Calibri"/>
      <family val="2"/>
    </font>
    <font>
      <sz val="9"/>
      <color indexed="9"/>
      <name val="Arial"/>
      <family val="2"/>
    </font>
    <font>
      <sz val="10"/>
      <color indexed="9"/>
      <name val="Arial"/>
      <family val="2"/>
    </font>
    <font>
      <sz val="10"/>
      <name val="MS Sans Serif"/>
      <family val="2"/>
    </font>
    <font>
      <i/>
      <sz val="11"/>
      <color indexed="23"/>
      <name val="Calibri"/>
      <family val="2"/>
    </font>
    <font>
      <sz val="11"/>
      <color indexed="8"/>
      <name val="Calibri"/>
      <family val="2"/>
    </font>
    <font>
      <sz val="12"/>
      <color indexed="8"/>
      <name val="Calibri"/>
      <family val="2"/>
    </font>
    <font>
      <sz val="9"/>
      <name val="Arial Narrow"/>
      <family val="2"/>
    </font>
    <font>
      <sz val="11"/>
      <color indexed="8"/>
      <name val="Calibri"/>
      <family val="2"/>
    </font>
    <font>
      <sz val="11"/>
      <color theme="1"/>
      <name val="Calibri"/>
      <family val="2"/>
      <scheme val="minor"/>
    </font>
    <font>
      <sz val="11"/>
      <color rgb="FF000000"/>
      <name val="Calibri"/>
      <family val="2"/>
    </font>
    <font>
      <sz val="12"/>
      <color theme="1"/>
      <name val="Calibri"/>
      <family val="2"/>
      <scheme val="minor"/>
    </font>
    <font>
      <sz val="11"/>
      <color theme="1"/>
      <name val="Arial Narrow"/>
      <family val="2"/>
    </font>
    <font>
      <sz val="9"/>
      <color theme="1"/>
      <name val="Arial Narrow"/>
      <family val="2"/>
    </font>
    <font>
      <sz val="12"/>
      <color theme="1"/>
      <name val="Arial Narrow"/>
      <family val="2"/>
    </font>
    <font>
      <sz val="9"/>
      <color rgb="FF000000"/>
      <name val="Arial Narrow"/>
      <family val="2"/>
    </font>
    <font>
      <sz val="10"/>
      <color rgb="FF000000"/>
      <name val="Arial Narrow"/>
      <family val="2"/>
    </font>
    <font>
      <sz val="8"/>
      <color theme="1"/>
      <name val="Arial Narrow"/>
      <family val="2"/>
    </font>
    <font>
      <sz val="10"/>
      <color theme="1"/>
      <name val="Arial Narrow"/>
      <family val="2"/>
    </font>
    <font>
      <sz val="11"/>
      <name val="Calibri"/>
      <family val="2"/>
    </font>
    <font>
      <sz val="11"/>
      <color theme="1"/>
      <name val="Arial"/>
      <family val="2"/>
    </font>
    <font>
      <sz val="11"/>
      <color rgb="FFFF0000"/>
      <name val="Arial Narrow"/>
      <family val="2"/>
    </font>
    <font>
      <sz val="10"/>
      <color rgb="FFFF0000"/>
      <name val="Arial Narrow"/>
      <family val="2"/>
    </font>
    <font>
      <b/>
      <sz val="11"/>
      <color rgb="FFFFFFFF"/>
      <name val="Calibri"/>
      <family val="2"/>
    </font>
    <font>
      <sz val="12"/>
      <color rgb="FFFF0000"/>
      <name val="Arial Narrow"/>
      <family val="2"/>
    </font>
    <font>
      <sz val="11"/>
      <color theme="1"/>
      <name val="Calibri"/>
      <family val="2"/>
    </font>
    <font>
      <sz val="9"/>
      <color rgb="FF000000"/>
      <name val="Arial"/>
      <family val="2"/>
    </font>
    <font>
      <sz val="10"/>
      <color rgb="FF000000"/>
      <name val="Inconsolata"/>
    </font>
    <font>
      <sz val="10"/>
      <color theme="1"/>
      <name val="Calibri"/>
      <family val="2"/>
    </font>
    <font>
      <sz val="9"/>
      <color rgb="FF000000"/>
      <name val="Arial Narrow"/>
      <family val="2"/>
      <charset val="1"/>
    </font>
    <font>
      <sz val="9"/>
      <color theme="1"/>
      <name val="Arial Narrow"/>
    </font>
    <font>
      <sz val="10"/>
      <color theme="1"/>
      <name val="Arial Narrow"/>
    </font>
    <font>
      <sz val="11"/>
      <color theme="1"/>
      <name val="Arial"/>
    </font>
    <font>
      <sz val="11"/>
      <color theme="1"/>
      <name val="Arial Narrow"/>
    </font>
    <font>
      <sz val="12"/>
      <color theme="1"/>
      <name val="Arial Narrow"/>
    </font>
    <font>
      <b/>
      <sz val="12"/>
      <color theme="1"/>
      <name val="Arial Narrow"/>
    </font>
    <font>
      <sz val="10"/>
      <color rgb="FFFF0000"/>
      <name val="Arial Narrow"/>
    </font>
    <font>
      <sz val="11"/>
      <color theme="1"/>
      <name val="Calibri"/>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CC0000"/>
        <bgColor rgb="FFFF0000"/>
      </patternFill>
    </fill>
    <fill>
      <patternFill patternType="solid">
        <fgColor rgb="FF92D050"/>
        <bgColor indexed="64"/>
      </patternFill>
    </fill>
  </fills>
  <borders count="15">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thin">
        <color rgb="FF000000"/>
      </bottom>
      <diagonal/>
    </border>
    <border>
      <left/>
      <right/>
      <top style="thin">
        <color indexed="64"/>
      </top>
      <bottom style="thin">
        <color indexed="64"/>
      </bottom>
      <diagonal/>
    </border>
    <border>
      <left style="hair">
        <color rgb="FF000000"/>
      </left>
      <right/>
      <top/>
      <bottom/>
      <diagonal/>
    </border>
  </borders>
  <cellStyleXfs count="86">
    <xf numFmtId="0" fontId="0" fillId="0" borderId="0"/>
    <xf numFmtId="170" fontId="3" fillId="0" borderId="0" applyFont="0" applyFill="0" applyBorder="0" applyAlignment="0" applyProtection="0"/>
    <xf numFmtId="171" fontId="3" fillId="0" borderId="0" applyFont="0" applyFill="0" applyBorder="0" applyAlignment="0" applyProtection="0"/>
    <xf numFmtId="0" fontId="1" fillId="0" borderId="0"/>
    <xf numFmtId="175" fontId="27" fillId="0" borderId="0"/>
    <xf numFmtId="0" fontId="1" fillId="0" borderId="0"/>
    <xf numFmtId="0" fontId="21" fillId="0" borderId="0" applyNumberFormat="0" applyFill="0" applyBorder="0" applyAlignment="0" applyProtection="0"/>
    <xf numFmtId="41" fontId="17" fillId="0" borderId="0" applyFont="0" applyFill="0" applyBorder="0" applyAlignment="0" applyProtection="0"/>
    <xf numFmtId="164" fontId="17" fillId="0" borderId="0" applyFont="0" applyFill="0" applyBorder="0" applyAlignment="0" applyProtection="0"/>
    <xf numFmtId="41" fontId="3" fillId="0" borderId="0" applyFont="0" applyFill="0" applyBorder="0" applyAlignment="0" applyProtection="0"/>
    <xf numFmtId="41" fontId="22" fillId="0" borderId="0" applyFont="0" applyFill="0" applyBorder="0" applyAlignment="0" applyProtection="0"/>
    <xf numFmtId="41" fontId="25" fillId="0" borderId="0" applyFont="0" applyFill="0" applyBorder="0" applyAlignment="0" applyProtection="0"/>
    <xf numFmtId="167" fontId="3" fillId="0" borderId="0" applyFont="0" applyFill="0" applyBorder="0" applyAlignment="0" applyProtection="0"/>
    <xf numFmtId="165" fontId="1"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40" fontId="20"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173" fontId="1" fillId="0" borderId="0" applyFont="0" applyFill="0" applyBorder="0" applyAlignment="0" applyProtection="0"/>
    <xf numFmtId="165" fontId="1" fillId="0" borderId="0" applyFont="0" applyFill="0" applyBorder="0" applyAlignment="0" applyProtection="0"/>
    <xf numFmtId="168" fontId="17" fillId="0" borderId="0" applyFont="0" applyFill="0" applyBorder="0" applyAlignment="0" applyProtection="0"/>
    <xf numFmtId="165" fontId="22" fillId="0" borderId="0" applyFont="0" applyFill="0" applyBorder="0" applyAlignment="0" applyProtection="0"/>
    <xf numFmtId="165" fontId="1"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42" fontId="2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27" fillId="0" borderId="0"/>
    <xf numFmtId="0" fontId="26" fillId="0" borderId="0"/>
    <xf numFmtId="0" fontId="26" fillId="0" borderId="0"/>
    <xf numFmtId="0" fontId="26" fillId="0" borderId="0"/>
    <xf numFmtId="0" fontId="26" fillId="0" borderId="0"/>
    <xf numFmtId="0" fontId="26" fillId="0" borderId="0"/>
    <xf numFmtId="0" fontId="1" fillId="0" borderId="0"/>
    <xf numFmtId="0" fontId="3" fillId="0" borderId="0"/>
    <xf numFmtId="0" fontId="26"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28" fillId="0" borderId="0"/>
    <xf numFmtId="9" fontId="17"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22"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 fillId="0" borderId="0"/>
    <xf numFmtId="178" fontId="1" fillId="0" borderId="0" applyFont="0" applyFill="0" applyBorder="0" applyAlignment="0" applyProtection="0"/>
    <xf numFmtId="41" fontId="1"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37" fillId="0" borderId="0"/>
    <xf numFmtId="0" fontId="28" fillId="0" borderId="0"/>
    <xf numFmtId="0" fontId="40" fillId="4" borderId="0" applyBorder="0" applyProtection="0"/>
    <xf numFmtId="0" fontId="28" fillId="0" borderId="0"/>
    <xf numFmtId="0" fontId="37" fillId="0" borderId="0"/>
    <xf numFmtId="0" fontId="37" fillId="0" borderId="0"/>
  </cellStyleXfs>
  <cellXfs count="263">
    <xf numFmtId="0" fontId="0" fillId="0" borderId="0" xfId="0"/>
    <xf numFmtId="0" fontId="11" fillId="0" borderId="1" xfId="35" applyFont="1" applyBorder="1" applyAlignment="1">
      <alignment horizontal="center" vertical="center" wrapText="1"/>
    </xf>
    <xf numFmtId="0" fontId="2" fillId="0" borderId="0" xfId="43" applyFont="1" applyAlignment="1">
      <alignment horizontal="center" vertical="center"/>
    </xf>
    <xf numFmtId="0" fontId="2" fillId="0" borderId="0" xfId="43" applyFont="1" applyAlignment="1">
      <alignment vertical="center"/>
    </xf>
    <xf numFmtId="0" fontId="8" fillId="0" borderId="0" xfId="35" applyFont="1" applyAlignment="1">
      <alignment horizontal="left" vertical="center"/>
    </xf>
    <xf numFmtId="0" fontId="8" fillId="0" borderId="0" xfId="35" applyFont="1" applyAlignment="1">
      <alignment vertical="center"/>
    </xf>
    <xf numFmtId="0" fontId="3" fillId="0" borderId="0" xfId="35" applyAlignment="1">
      <alignment vertical="center"/>
    </xf>
    <xf numFmtId="0" fontId="8" fillId="0" borderId="0" xfId="35" quotePrefix="1" applyFont="1" applyAlignment="1">
      <alignment horizontal="left" vertical="center"/>
    </xf>
    <xf numFmtId="0" fontId="8" fillId="0" borderId="0" xfId="35" applyFont="1" applyAlignment="1">
      <alignment horizontal="right" vertical="center"/>
    </xf>
    <xf numFmtId="0" fontId="8" fillId="0" borderId="0" xfId="35" applyFont="1" applyAlignment="1">
      <alignment horizontal="center" vertical="center"/>
    </xf>
    <xf numFmtId="9" fontId="13" fillId="0" borderId="0" xfId="64" applyFont="1" applyAlignment="1">
      <alignment horizontal="center" vertical="center"/>
    </xf>
    <xf numFmtId="0" fontId="12" fillId="0" borderId="0" xfId="35" applyFont="1" applyAlignment="1">
      <alignment vertical="center"/>
    </xf>
    <xf numFmtId="0" fontId="8" fillId="0" borderId="2" xfId="35" applyFont="1" applyBorder="1" applyAlignment="1">
      <alignment vertical="center"/>
    </xf>
    <xf numFmtId="0" fontId="8" fillId="0" borderId="2" xfId="35" applyFont="1" applyBorder="1" applyAlignment="1">
      <alignment horizontal="left" vertical="center"/>
    </xf>
    <xf numFmtId="3" fontId="3" fillId="0" borderId="0" xfId="35" applyNumberFormat="1" applyAlignment="1">
      <alignment vertical="center"/>
    </xf>
    <xf numFmtId="0" fontId="12" fillId="0" borderId="0" xfId="35" applyFont="1" applyAlignment="1">
      <alignment horizontal="right" vertical="center"/>
    </xf>
    <xf numFmtId="0" fontId="2" fillId="0" borderId="0" xfId="43" applyFont="1" applyAlignment="1">
      <alignment horizontal="left" vertical="center"/>
    </xf>
    <xf numFmtId="0" fontId="2" fillId="0" borderId="0" xfId="43" applyFont="1" applyAlignment="1">
      <alignment vertical="center" wrapText="1"/>
    </xf>
    <xf numFmtId="0" fontId="18" fillId="0" borderId="0" xfId="35" applyFont="1" applyAlignment="1">
      <alignment horizontal="right" vertical="center"/>
    </xf>
    <xf numFmtId="0" fontId="18" fillId="0" borderId="0" xfId="35" applyFont="1" applyAlignment="1">
      <alignment vertical="center"/>
    </xf>
    <xf numFmtId="0" fontId="19" fillId="0" borderId="0" xfId="35" applyFont="1" applyAlignment="1">
      <alignment vertical="center"/>
    </xf>
    <xf numFmtId="10" fontId="18" fillId="0" borderId="0" xfId="35" applyNumberFormat="1" applyFont="1" applyAlignment="1">
      <alignment vertical="center"/>
    </xf>
    <xf numFmtId="174" fontId="18" fillId="0" borderId="0" xfId="35" applyNumberFormat="1" applyFont="1" applyAlignment="1">
      <alignment vertical="center"/>
    </xf>
    <xf numFmtId="0" fontId="11" fillId="0" borderId="2" xfId="35" applyFont="1" applyBorder="1" applyAlignment="1">
      <alignment horizontal="center" vertical="center" wrapText="1"/>
    </xf>
    <xf numFmtId="0" fontId="14" fillId="0" borderId="0" xfId="35" applyFont="1" applyAlignment="1">
      <alignment vertical="center"/>
    </xf>
    <xf numFmtId="0" fontId="2" fillId="2" borderId="0" xfId="44" applyFont="1" applyFill="1" applyAlignment="1">
      <alignment vertical="center"/>
    </xf>
    <xf numFmtId="0" fontId="2" fillId="2" borderId="0" xfId="43" applyFont="1" applyFill="1" applyAlignment="1">
      <alignment vertical="center"/>
    </xf>
    <xf numFmtId="3" fontId="14" fillId="0" borderId="0" xfId="35" applyNumberFormat="1" applyFont="1" applyAlignment="1">
      <alignment vertical="center"/>
    </xf>
    <xf numFmtId="3" fontId="14" fillId="0" borderId="0" xfId="35" applyNumberFormat="1" applyFont="1" applyAlignment="1">
      <alignment horizontal="right" vertical="center"/>
    </xf>
    <xf numFmtId="172" fontId="14" fillId="0" borderId="0" xfId="35" applyNumberFormat="1" applyFont="1" applyAlignment="1">
      <alignment horizontal="right" vertical="center" wrapText="1"/>
    </xf>
    <xf numFmtId="172" fontId="14" fillId="0" borderId="0" xfId="64" applyNumberFormat="1" applyFont="1" applyAlignment="1">
      <alignment vertical="center"/>
    </xf>
    <xf numFmtId="0" fontId="14" fillId="0" borderId="0" xfId="35" applyFont="1" applyAlignment="1">
      <alignment horizontal="center" vertical="center"/>
    </xf>
    <xf numFmtId="0" fontId="14" fillId="0" borderId="0" xfId="35" applyFont="1" applyAlignment="1">
      <alignment horizontal="left" vertical="center"/>
    </xf>
    <xf numFmtId="3" fontId="14" fillId="0" borderId="0" xfId="35" applyNumberFormat="1" applyFont="1" applyAlignment="1">
      <alignment horizontal="left" vertical="center"/>
    </xf>
    <xf numFmtId="172" fontId="14" fillId="0" borderId="0" xfId="35" applyNumberFormat="1" applyFont="1" applyAlignment="1">
      <alignment horizontal="left" vertical="center"/>
    </xf>
    <xf numFmtId="172" fontId="14" fillId="0" borderId="0" xfId="35" applyNumberFormat="1" applyFont="1" applyAlignment="1">
      <alignment vertical="center"/>
    </xf>
    <xf numFmtId="0" fontId="15" fillId="0" borderId="0" xfId="35" applyFont="1" applyAlignment="1">
      <alignment vertical="center"/>
    </xf>
    <xf numFmtId="0" fontId="16" fillId="0" borderId="0" xfId="35" quotePrefix="1" applyFont="1" applyAlignment="1">
      <alignment vertical="center"/>
    </xf>
    <xf numFmtId="0" fontId="6" fillId="0" borderId="1" xfId="39" applyFont="1" applyBorder="1" applyAlignment="1">
      <alignment horizontal="center" vertical="center" wrapText="1"/>
    </xf>
    <xf numFmtId="0" fontId="6" fillId="3" borderId="1" xfId="39" applyFont="1" applyFill="1" applyBorder="1" applyAlignment="1">
      <alignment horizontal="center" vertical="center"/>
    </xf>
    <xf numFmtId="0" fontId="2" fillId="0" borderId="0" xfId="35" applyFont="1" applyAlignment="1">
      <alignment horizontal="left" vertical="center"/>
    </xf>
    <xf numFmtId="0" fontId="35" fillId="0" borderId="0" xfId="0" applyFont="1" applyAlignment="1">
      <alignment vertical="center"/>
    </xf>
    <xf numFmtId="0" fontId="35" fillId="0" borderId="0" xfId="0" applyFont="1" applyAlignment="1">
      <alignment horizontal="center" vertical="center"/>
    </xf>
    <xf numFmtId="0" fontId="29" fillId="0" borderId="0" xfId="0" applyFont="1" applyAlignment="1">
      <alignment vertical="center"/>
    </xf>
    <xf numFmtId="3" fontId="35" fillId="0" borderId="0" xfId="0" applyNumberFormat="1" applyFont="1" applyAlignment="1">
      <alignment vertical="center"/>
    </xf>
    <xf numFmtId="0" fontId="29" fillId="0" borderId="0" xfId="0" applyFont="1" applyAlignment="1">
      <alignment vertical="center" wrapText="1"/>
    </xf>
    <xf numFmtId="0" fontId="35" fillId="0" borderId="0" xfId="0" applyFont="1" applyAlignment="1">
      <alignment vertical="center" wrapText="1"/>
    </xf>
    <xf numFmtId="1" fontId="33" fillId="0" borderId="0" xfId="0" applyNumberFormat="1" applyFont="1" applyAlignment="1">
      <alignment horizontal="center" vertical="center"/>
    </xf>
    <xf numFmtId="0" fontId="35" fillId="0" borderId="7" xfId="0" applyFont="1" applyBorder="1" applyAlignment="1">
      <alignment horizontal="center" vertical="center"/>
    </xf>
    <xf numFmtId="0" fontId="35" fillId="0" borderId="7" xfId="0" applyFont="1" applyBorder="1" applyAlignment="1">
      <alignment vertical="center" wrapText="1"/>
    </xf>
    <xf numFmtId="0" fontId="30" fillId="0" borderId="7" xfId="0" applyFont="1" applyBorder="1" applyAlignment="1">
      <alignment horizontal="center" vertical="center"/>
    </xf>
    <xf numFmtId="0" fontId="30" fillId="0" borderId="7" xfId="0" applyFont="1" applyBorder="1" applyAlignment="1">
      <alignment vertical="center"/>
    </xf>
    <xf numFmtId="3" fontId="30" fillId="0" borderId="7" xfId="0" applyNumberFormat="1" applyFont="1" applyBorder="1" applyAlignment="1">
      <alignment vertical="center"/>
    </xf>
    <xf numFmtId="172" fontId="30" fillId="0" borderId="7" xfId="0" applyNumberFormat="1" applyFont="1" applyBorder="1" applyAlignment="1">
      <alignment vertical="center"/>
    </xf>
    <xf numFmtId="3" fontId="35" fillId="0" borderId="7" xfId="0" applyNumberFormat="1" applyFont="1" applyBorder="1" applyAlignment="1">
      <alignment vertical="center" wrapText="1"/>
    </xf>
    <xf numFmtId="172" fontId="29" fillId="0" borderId="0" xfId="0" applyNumberFormat="1" applyFont="1" applyAlignment="1">
      <alignment vertical="center"/>
    </xf>
    <xf numFmtId="0" fontId="31" fillId="0" borderId="7" xfId="0" applyFont="1" applyBorder="1" applyAlignment="1">
      <alignment vertical="center"/>
    </xf>
    <xf numFmtId="0" fontId="31" fillId="0" borderId="7" xfId="0" applyFont="1" applyBorder="1" applyAlignment="1">
      <alignment horizontal="center" vertical="center"/>
    </xf>
    <xf numFmtId="0" fontId="31" fillId="0" borderId="7" xfId="0" applyFont="1" applyBorder="1" applyAlignment="1">
      <alignment horizontal="left" vertical="center" wrapText="1"/>
    </xf>
    <xf numFmtId="0" fontId="31" fillId="0" borderId="7" xfId="0" applyFont="1" applyBorder="1" applyAlignment="1">
      <alignment vertical="center" wrapText="1"/>
    </xf>
    <xf numFmtId="0" fontId="29" fillId="0" borderId="7" xfId="0" applyFont="1" applyBorder="1" applyAlignment="1">
      <alignment vertical="center"/>
    </xf>
    <xf numFmtId="0" fontId="29" fillId="0" borderId="7" xfId="0" applyFont="1" applyBorder="1" applyAlignment="1">
      <alignment horizontal="left" vertical="center" wrapText="1"/>
    </xf>
    <xf numFmtId="0" fontId="35" fillId="0" borderId="7" xfId="0" applyFont="1" applyBorder="1" applyAlignment="1">
      <alignment vertical="center"/>
    </xf>
    <xf numFmtId="3" fontId="30" fillId="0" borderId="7" xfId="0" applyNumberFormat="1" applyFont="1" applyBorder="1" applyAlignment="1">
      <alignment horizontal="center" vertical="center" wrapText="1"/>
    </xf>
    <xf numFmtId="3" fontId="30" fillId="0" borderId="7" xfId="0" applyNumberFormat="1" applyFont="1" applyBorder="1" applyAlignment="1">
      <alignment horizontal="center" vertical="center"/>
    </xf>
    <xf numFmtId="3" fontId="35" fillId="0" borderId="7" xfId="0" applyNumberFormat="1" applyFont="1" applyBorder="1" applyAlignment="1">
      <alignment horizontal="center" vertical="center" wrapText="1"/>
    </xf>
    <xf numFmtId="0" fontId="30" fillId="0" borderId="7" xfId="0" applyFont="1" applyBorder="1" applyAlignment="1">
      <alignment vertical="center" wrapText="1"/>
    </xf>
    <xf numFmtId="0" fontId="29" fillId="0" borderId="7" xfId="0" applyFont="1" applyBorder="1" applyAlignment="1">
      <alignment vertical="center" wrapText="1"/>
    </xf>
    <xf numFmtId="0" fontId="29" fillId="0" borderId="7" xfId="0" applyFont="1" applyBorder="1" applyAlignment="1">
      <alignment horizontal="center" vertical="center"/>
    </xf>
    <xf numFmtId="172" fontId="30" fillId="0" borderId="7" xfId="0" applyNumberFormat="1" applyFont="1" applyBorder="1" applyAlignment="1">
      <alignment vertical="center" wrapText="1"/>
    </xf>
    <xf numFmtId="3" fontId="30" fillId="0" borderId="7" xfId="0" applyNumberFormat="1" applyFont="1" applyBorder="1" applyAlignment="1">
      <alignment horizontal="right" vertical="center" wrapText="1"/>
    </xf>
    <xf numFmtId="9" fontId="35" fillId="0" borderId="7" xfId="0" applyNumberFormat="1" applyFont="1" applyBorder="1" applyAlignment="1">
      <alignment horizontal="center" vertical="center"/>
    </xf>
    <xf numFmtId="9" fontId="30" fillId="0" borderId="7" xfId="0" applyNumberFormat="1" applyFont="1" applyBorder="1" applyAlignment="1">
      <alignment horizontal="center" vertical="center"/>
    </xf>
    <xf numFmtId="0" fontId="35" fillId="0" borderId="7" xfId="0" applyFont="1" applyBorder="1" applyAlignment="1">
      <alignment horizontal="left" vertical="center" wrapText="1"/>
    </xf>
    <xf numFmtId="0" fontId="29" fillId="0" borderId="0" xfId="0" applyFont="1" applyAlignment="1">
      <alignment horizontal="center" vertical="center"/>
    </xf>
    <xf numFmtId="0" fontId="29" fillId="0" borderId="0" xfId="0" applyFont="1" applyAlignment="1">
      <alignment horizontal="left" vertical="center"/>
    </xf>
    <xf numFmtId="0" fontId="30" fillId="0" borderId="0" xfId="0" applyFont="1" applyAlignment="1">
      <alignment vertical="center"/>
    </xf>
    <xf numFmtId="0" fontId="35" fillId="0" borderId="0" xfId="0" applyFont="1" applyAlignment="1">
      <alignment horizontal="left" vertical="center"/>
    </xf>
    <xf numFmtId="0" fontId="35" fillId="0" borderId="0" xfId="0" applyFont="1" applyAlignment="1">
      <alignment horizontal="center" vertical="center" wrapText="1"/>
    </xf>
    <xf numFmtId="0" fontId="30" fillId="0" borderId="7" xfId="0" applyFont="1" applyBorder="1" applyAlignment="1">
      <alignment horizontal="right" vertical="center" wrapText="1"/>
    </xf>
    <xf numFmtId="0" fontId="30" fillId="0" borderId="7" xfId="0" applyFont="1" applyBorder="1" applyAlignment="1">
      <alignment horizontal="left" vertical="center" wrapText="1"/>
    </xf>
    <xf numFmtId="0" fontId="35" fillId="0" borderId="7" xfId="0" applyFont="1" applyBorder="1" applyAlignment="1">
      <alignment horizontal="center" vertical="center" wrapText="1"/>
    </xf>
    <xf numFmtId="0" fontId="30" fillId="0" borderId="12" xfId="0" applyFont="1" applyBorder="1" applyAlignment="1">
      <alignment vertical="center" wrapText="1"/>
    </xf>
    <xf numFmtId="172" fontId="35" fillId="0" borderId="0" xfId="0" applyNumberFormat="1" applyFont="1" applyAlignment="1">
      <alignment horizontal="center" vertical="center"/>
    </xf>
    <xf numFmtId="3" fontId="34" fillId="0" borderId="0" xfId="0" applyNumberFormat="1" applyFont="1" applyAlignment="1">
      <alignment horizontal="right" vertical="center" wrapText="1"/>
    </xf>
    <xf numFmtId="172" fontId="34" fillId="0" borderId="0" xfId="0" applyNumberFormat="1" applyFont="1" applyAlignment="1">
      <alignment horizontal="right" vertical="center" wrapText="1"/>
    </xf>
    <xf numFmtId="3" fontId="34" fillId="0" borderId="0" xfId="0" applyNumberFormat="1" applyFont="1" applyAlignment="1">
      <alignment vertical="center"/>
    </xf>
    <xf numFmtId="172" fontId="34" fillId="0" borderId="0" xfId="0" applyNumberFormat="1" applyFont="1" applyAlignment="1">
      <alignment vertical="center"/>
    </xf>
    <xf numFmtId="0" fontId="30" fillId="0" borderId="7" xfId="0" applyFont="1" applyBorder="1" applyAlignment="1">
      <alignment horizontal="center" vertical="center" wrapText="1"/>
    </xf>
    <xf numFmtId="172" fontId="30" fillId="0" borderId="7" xfId="0" applyNumberFormat="1" applyFont="1" applyBorder="1" applyAlignment="1">
      <alignment horizontal="center" vertical="center"/>
    </xf>
    <xf numFmtId="172" fontId="30" fillId="0" borderId="7" xfId="0" applyNumberFormat="1" applyFont="1" applyBorder="1" applyAlignment="1">
      <alignment horizontal="center" vertical="center" wrapText="1"/>
    </xf>
    <xf numFmtId="0" fontId="31" fillId="0" borderId="7" xfId="0" applyFont="1" applyBorder="1" applyAlignment="1">
      <alignment horizontal="left" vertical="center"/>
    </xf>
    <xf numFmtId="0" fontId="29" fillId="0" borderId="7" xfId="0" applyFont="1" applyBorder="1" applyAlignment="1">
      <alignment horizontal="center" vertical="center" wrapText="1"/>
    </xf>
    <xf numFmtId="0" fontId="31" fillId="0" borderId="7" xfId="0" applyFont="1" applyBorder="1" applyAlignment="1">
      <alignment horizontal="center" vertical="center" wrapText="1"/>
    </xf>
    <xf numFmtId="0" fontId="30" fillId="0" borderId="12" xfId="0" applyFont="1" applyBorder="1" applyAlignment="1">
      <alignment horizontal="center" vertical="center" wrapText="1"/>
    </xf>
    <xf numFmtId="9" fontId="30" fillId="0" borderId="7" xfId="0" applyNumberFormat="1" applyFont="1" applyBorder="1" applyAlignment="1">
      <alignment horizontal="center" vertical="center" wrapText="1"/>
    </xf>
    <xf numFmtId="3" fontId="30" fillId="0" borderId="7" xfId="0" applyNumberFormat="1" applyFont="1" applyBorder="1" applyAlignment="1">
      <alignment horizontal="right" vertical="center"/>
    </xf>
    <xf numFmtId="172" fontId="30" fillId="0" borderId="7" xfId="0" applyNumberFormat="1" applyFont="1" applyBorder="1" applyAlignment="1">
      <alignment horizontal="right" vertical="center"/>
    </xf>
    <xf numFmtId="0" fontId="30" fillId="0" borderId="7" xfId="0" applyFont="1" applyBorder="1" applyAlignment="1">
      <alignment horizontal="left" vertical="center"/>
    </xf>
    <xf numFmtId="0" fontId="35" fillId="0" borderId="7" xfId="0" applyFont="1" applyBorder="1" applyAlignment="1">
      <alignment horizontal="left" vertical="center"/>
    </xf>
    <xf numFmtId="0" fontId="29" fillId="0" borderId="7" xfId="0" applyFont="1" applyBorder="1" applyAlignment="1">
      <alignment horizontal="left" vertical="center"/>
    </xf>
    <xf numFmtId="10" fontId="35" fillId="0" borderId="7" xfId="0" applyNumberFormat="1" applyFont="1" applyBorder="1" applyAlignment="1">
      <alignment horizontal="center" vertical="center" wrapText="1"/>
    </xf>
    <xf numFmtId="3" fontId="30" fillId="0" borderId="12" xfId="0" applyNumberFormat="1" applyFont="1" applyBorder="1" applyAlignment="1">
      <alignment horizontal="right" vertical="center"/>
    </xf>
    <xf numFmtId="3" fontId="35" fillId="0" borderId="7" xfId="0" applyNumberFormat="1" applyFont="1" applyBorder="1" applyAlignment="1">
      <alignment vertical="center"/>
    </xf>
    <xf numFmtId="0" fontId="29" fillId="0" borderId="0" xfId="0" applyFont="1" applyAlignment="1">
      <alignment horizontal="center" vertical="center" wrapText="1"/>
    </xf>
    <xf numFmtId="172" fontId="30" fillId="0" borderId="12" xfId="0" applyNumberFormat="1" applyFont="1" applyBorder="1" applyAlignment="1">
      <alignment vertical="center"/>
    </xf>
    <xf numFmtId="0" fontId="35" fillId="0" borderId="14" xfId="0" applyFont="1" applyBorder="1" applyAlignment="1">
      <alignment vertical="center"/>
    </xf>
    <xf numFmtId="0" fontId="29" fillId="0" borderId="0" xfId="0" applyFont="1" applyAlignment="1">
      <alignment horizontal="right" vertical="center"/>
    </xf>
    <xf numFmtId="0" fontId="45" fillId="0" borderId="0" xfId="0" applyFont="1" applyAlignment="1">
      <alignment vertical="center"/>
    </xf>
    <xf numFmtId="0" fontId="33" fillId="0" borderId="0" xfId="0" applyFont="1" applyAlignment="1">
      <alignment horizontal="right" vertical="center"/>
    </xf>
    <xf numFmtId="0" fontId="44" fillId="0" borderId="0" xfId="0" applyFont="1" applyAlignment="1">
      <alignment vertical="center"/>
    </xf>
    <xf numFmtId="0" fontId="32" fillId="0" borderId="7" xfId="0" applyFont="1" applyBorder="1" applyAlignment="1">
      <alignment horizontal="left" vertical="center" wrapText="1"/>
    </xf>
    <xf numFmtId="0" fontId="30" fillId="0" borderId="12" xfId="0" applyFont="1" applyBorder="1" applyAlignment="1">
      <alignment horizontal="left" vertical="center" wrapText="1"/>
    </xf>
    <xf numFmtId="0" fontId="0" fillId="0" borderId="7" xfId="0" applyBorder="1" applyAlignment="1">
      <alignment vertical="center"/>
    </xf>
    <xf numFmtId="172" fontId="35" fillId="0" borderId="7" xfId="0" applyNumberFormat="1" applyFont="1" applyBorder="1" applyAlignment="1">
      <alignment vertical="center"/>
    </xf>
    <xf numFmtId="1" fontId="30" fillId="0" borderId="7" xfId="0" applyNumberFormat="1" applyFont="1" applyBorder="1" applyAlignment="1">
      <alignment vertical="center" wrapText="1"/>
    </xf>
    <xf numFmtId="177" fontId="30" fillId="0" borderId="7" xfId="0" applyNumberFormat="1" applyFont="1" applyBorder="1" applyAlignment="1">
      <alignment horizontal="center" vertical="center"/>
    </xf>
    <xf numFmtId="10" fontId="30" fillId="0" borderId="7" xfId="0" applyNumberFormat="1" applyFont="1" applyBorder="1" applyAlignment="1">
      <alignment vertical="center"/>
    </xf>
    <xf numFmtId="0" fontId="32" fillId="0" borderId="7" xfId="0" applyFont="1" applyBorder="1" applyAlignment="1">
      <alignment vertical="center" wrapText="1"/>
    </xf>
    <xf numFmtId="0" fontId="42" fillId="0" borderId="7" xfId="0" applyFont="1" applyBorder="1" applyAlignment="1">
      <alignment vertical="center" wrapText="1"/>
    </xf>
    <xf numFmtId="9" fontId="29" fillId="0" borderId="7" xfId="0" applyNumberFormat="1" applyFont="1" applyBorder="1" applyAlignment="1">
      <alignment vertical="center" wrapText="1"/>
    </xf>
    <xf numFmtId="0" fontId="38" fillId="0" borderId="7" xfId="0" applyFont="1" applyBorder="1" applyAlignment="1">
      <alignment horizontal="center" vertical="center" wrapText="1"/>
    </xf>
    <xf numFmtId="0" fontId="48" fillId="0" borderId="7" xfId="0" applyFont="1" applyBorder="1" applyAlignment="1">
      <alignment horizontal="center" vertical="center" wrapText="1"/>
    </xf>
    <xf numFmtId="0" fontId="48" fillId="0" borderId="7" xfId="0" applyFont="1" applyBorder="1" applyAlignment="1">
      <alignment horizontal="left" vertical="center" wrapText="1"/>
    </xf>
    <xf numFmtId="0" fontId="47" fillId="0" borderId="7" xfId="0" applyFont="1" applyBorder="1" applyAlignment="1">
      <alignment horizontal="left" vertical="center" wrapText="1"/>
    </xf>
    <xf numFmtId="172" fontId="47" fillId="0" borderId="7" xfId="0" applyNumberFormat="1" applyFont="1" applyBorder="1" applyAlignment="1">
      <alignment horizontal="right" vertical="center" wrapText="1"/>
    </xf>
    <xf numFmtId="0" fontId="49" fillId="0" borderId="7" xfId="0" applyFont="1" applyBorder="1" applyAlignment="1">
      <alignment vertical="center"/>
    </xf>
    <xf numFmtId="9" fontId="30" fillId="0" borderId="7" xfId="0" applyNumberFormat="1" applyFont="1" applyBorder="1" applyAlignment="1">
      <alignment vertical="center"/>
    </xf>
    <xf numFmtId="3" fontId="30" fillId="0" borderId="7" xfId="0" applyNumberFormat="1" applyFont="1" applyBorder="1" applyAlignment="1">
      <alignment vertical="center" wrapText="1"/>
    </xf>
    <xf numFmtId="177" fontId="30" fillId="0" borderId="7" xfId="0" applyNumberFormat="1" applyFont="1" applyBorder="1" applyAlignment="1">
      <alignment horizontal="right" vertical="center" wrapText="1"/>
    </xf>
    <xf numFmtId="9" fontId="30" fillId="0" borderId="7" xfId="0" applyNumberFormat="1" applyFont="1" applyBorder="1" applyAlignment="1">
      <alignment vertical="center" wrapText="1"/>
    </xf>
    <xf numFmtId="9" fontId="30" fillId="0" borderId="12" xfId="0" applyNumberFormat="1" applyFont="1" applyBorder="1" applyAlignment="1">
      <alignment vertical="center" wrapText="1"/>
    </xf>
    <xf numFmtId="0" fontId="32" fillId="0" borderId="12" xfId="0" applyFont="1" applyBorder="1" applyAlignment="1">
      <alignment vertical="center" wrapText="1"/>
    </xf>
    <xf numFmtId="0" fontId="24" fillId="0" borderId="7" xfId="0" applyFont="1" applyBorder="1" applyAlignment="1">
      <alignment horizontal="left" vertical="center" wrapText="1"/>
    </xf>
    <xf numFmtId="177" fontId="30" fillId="0" borderId="7" xfId="0" applyNumberFormat="1" applyFont="1" applyBorder="1" applyAlignment="1">
      <alignment horizontal="center" vertical="center" wrapText="1"/>
    </xf>
    <xf numFmtId="172" fontId="35" fillId="0" borderId="7" xfId="0" applyNumberFormat="1" applyFont="1" applyBorder="1" applyAlignment="1">
      <alignment horizontal="right" vertical="center" wrapText="1"/>
    </xf>
    <xf numFmtId="172" fontId="30" fillId="0" borderId="7" xfId="0" applyNumberFormat="1" applyFont="1" applyBorder="1" applyAlignment="1">
      <alignment horizontal="right" vertical="center" wrapText="1"/>
    </xf>
    <xf numFmtId="0" fontId="39" fillId="0" borderId="7" xfId="0" applyFont="1" applyBorder="1" applyAlignment="1">
      <alignment horizontal="center" vertical="center" wrapText="1"/>
    </xf>
    <xf numFmtId="172" fontId="35" fillId="0" borderId="7" xfId="0" applyNumberFormat="1" applyFont="1" applyBorder="1" applyAlignment="1">
      <alignment horizontal="right" vertical="center"/>
    </xf>
    <xf numFmtId="0" fontId="41" fillId="0" borderId="7" xfId="0" applyFont="1" applyBorder="1" applyAlignment="1">
      <alignment horizontal="left" vertical="center" wrapText="1"/>
    </xf>
    <xf numFmtId="176" fontId="35" fillId="0" borderId="7" xfId="0" applyNumberFormat="1" applyFont="1" applyBorder="1" applyAlignment="1">
      <alignment horizontal="left" vertical="center" wrapText="1"/>
    </xf>
    <xf numFmtId="0" fontId="39" fillId="0" borderId="7" xfId="0" applyFont="1" applyBorder="1" applyAlignment="1">
      <alignment vertical="center"/>
    </xf>
    <xf numFmtId="176" fontId="30" fillId="0" borderId="7" xfId="0" applyNumberFormat="1" applyFont="1" applyBorder="1" applyAlignment="1">
      <alignment horizontal="left" vertical="center" wrapText="1"/>
    </xf>
    <xf numFmtId="9" fontId="29" fillId="0" borderId="7" xfId="0" applyNumberFormat="1" applyFont="1" applyBorder="1" applyAlignment="1">
      <alignment horizontal="center" vertical="center" wrapText="1"/>
    </xf>
    <xf numFmtId="172" fontId="29" fillId="0" borderId="7" xfId="0" applyNumberFormat="1" applyFont="1" applyBorder="1" applyAlignment="1">
      <alignment horizontal="center" vertical="center" wrapText="1"/>
    </xf>
    <xf numFmtId="176" fontId="29" fillId="0" borderId="7" xfId="0" applyNumberFormat="1" applyFont="1" applyBorder="1" applyAlignment="1">
      <alignment horizontal="left" vertical="center" wrapText="1"/>
    </xf>
    <xf numFmtId="3" fontId="29" fillId="0" borderId="7" xfId="0" applyNumberFormat="1" applyFont="1" applyBorder="1" applyAlignment="1">
      <alignment horizontal="center" vertical="center"/>
    </xf>
    <xf numFmtId="9" fontId="29" fillId="0" borderId="7" xfId="0" applyNumberFormat="1" applyFont="1" applyBorder="1" applyAlignment="1">
      <alignment vertical="center"/>
    </xf>
    <xf numFmtId="3" fontId="29" fillId="0" borderId="7" xfId="0" applyNumberFormat="1" applyFont="1" applyBorder="1" applyAlignment="1">
      <alignment horizontal="center" vertical="center" wrapText="1"/>
    </xf>
    <xf numFmtId="177" fontId="38" fillId="0" borderId="7" xfId="0" applyNumberFormat="1" applyFont="1" applyBorder="1" applyAlignment="1">
      <alignment horizontal="center" vertical="center"/>
    </xf>
    <xf numFmtId="172" fontId="42" fillId="0" borderId="7" xfId="0" applyNumberFormat="1" applyFont="1" applyBorder="1" applyAlignment="1">
      <alignment vertical="center" wrapText="1"/>
    </xf>
    <xf numFmtId="10" fontId="30" fillId="0" borderId="7" xfId="0" applyNumberFormat="1" applyFont="1" applyBorder="1" applyAlignment="1">
      <alignment horizontal="right" vertical="center" wrapText="1"/>
    </xf>
    <xf numFmtId="9" fontId="30" fillId="0" borderId="7" xfId="0" applyNumberFormat="1" applyFont="1" applyBorder="1" applyAlignment="1">
      <alignment horizontal="right" vertical="center" wrapText="1"/>
    </xf>
    <xf numFmtId="3" fontId="31" fillId="0" borderId="7" xfId="0" applyNumberFormat="1" applyFont="1" applyBorder="1" applyAlignment="1">
      <alignment horizontal="center" vertical="center" wrapText="1"/>
    </xf>
    <xf numFmtId="9" fontId="31" fillId="0" borderId="7" xfId="0" applyNumberFormat="1" applyFont="1" applyBorder="1" applyAlignment="1">
      <alignment vertical="center" wrapText="1"/>
    </xf>
    <xf numFmtId="0" fontId="42" fillId="0" borderId="7" xfId="0" applyFont="1" applyBorder="1" applyAlignment="1">
      <alignment vertical="center"/>
    </xf>
    <xf numFmtId="0" fontId="38" fillId="0" borderId="7" xfId="0" applyFont="1" applyBorder="1" applyAlignment="1">
      <alignment vertical="center"/>
    </xf>
    <xf numFmtId="0" fontId="32" fillId="0" borderId="7" xfId="43" applyFont="1" applyBorder="1" applyAlignment="1">
      <alignment horizontal="left" vertical="center" wrapText="1"/>
    </xf>
    <xf numFmtId="9" fontId="29" fillId="0" borderId="7" xfId="0" applyNumberFormat="1" applyFont="1" applyBorder="1" applyAlignment="1">
      <alignment horizontal="right" vertical="center" wrapText="1"/>
    </xf>
    <xf numFmtId="0" fontId="43" fillId="0" borderId="7" xfId="0" applyFont="1" applyBorder="1" applyAlignment="1">
      <alignment vertical="center"/>
    </xf>
    <xf numFmtId="9" fontId="35" fillId="0" borderId="7" xfId="0" applyNumberFormat="1" applyFont="1" applyBorder="1" applyAlignment="1">
      <alignment horizontal="center" vertical="center" wrapText="1"/>
    </xf>
    <xf numFmtId="3" fontId="30" fillId="0" borderId="12" xfId="0" applyNumberFormat="1" applyFont="1" applyBorder="1" applyAlignment="1">
      <alignment vertical="center" wrapText="1"/>
    </xf>
    <xf numFmtId="172" fontId="30" fillId="0" borderId="12" xfId="0" applyNumberFormat="1" applyFont="1" applyBorder="1" applyAlignment="1">
      <alignment vertical="center" wrapText="1"/>
    </xf>
    <xf numFmtId="177" fontId="47" fillId="0" borderId="7" xfId="0" applyNumberFormat="1" applyFont="1" applyBorder="1" applyAlignment="1">
      <alignment horizontal="right" vertical="center" wrapText="1"/>
    </xf>
    <xf numFmtId="0" fontId="48" fillId="0" borderId="7" xfId="0" applyFont="1" applyBorder="1" applyAlignment="1">
      <alignment vertical="center" wrapText="1"/>
    </xf>
    <xf numFmtId="0" fontId="48" fillId="0" borderId="7" xfId="0" applyFont="1" applyBorder="1" applyAlignment="1">
      <alignment horizontal="right" vertical="center" wrapText="1"/>
    </xf>
    <xf numFmtId="3" fontId="48" fillId="0" borderId="7" xfId="0" applyNumberFormat="1" applyFont="1" applyBorder="1" applyAlignment="1">
      <alignment vertical="center" wrapText="1"/>
    </xf>
    <xf numFmtId="0" fontId="48" fillId="0" borderId="7" xfId="0" applyFont="1" applyBorder="1" applyAlignment="1">
      <alignment vertical="center"/>
    </xf>
    <xf numFmtId="0" fontId="50" fillId="0" borderId="7" xfId="0" applyFont="1" applyBorder="1" applyAlignment="1">
      <alignment vertical="center"/>
    </xf>
    <xf numFmtId="0" fontId="48" fillId="0" borderId="7" xfId="0" applyFont="1" applyBorder="1" applyAlignment="1">
      <alignment horizontal="center" vertical="center"/>
    </xf>
    <xf numFmtId="172" fontId="48" fillId="0" borderId="7" xfId="0" applyNumberFormat="1" applyFont="1" applyBorder="1" applyAlignment="1">
      <alignment vertical="center"/>
    </xf>
    <xf numFmtId="172" fontId="48" fillId="0" borderId="7" xfId="0" applyNumberFormat="1" applyFont="1" applyBorder="1" applyAlignment="1">
      <alignment horizontal="right" vertical="center" wrapText="1"/>
    </xf>
    <xf numFmtId="0" fontId="51" fillId="0" borderId="11" xfId="0" applyFont="1" applyBorder="1" applyAlignment="1">
      <alignment vertical="center"/>
    </xf>
    <xf numFmtId="0" fontId="51" fillId="0" borderId="11" xfId="0" applyFont="1" applyBorder="1" applyAlignment="1">
      <alignment horizontal="center" vertical="center"/>
    </xf>
    <xf numFmtId="0" fontId="52" fillId="0" borderId="11" xfId="0" applyFont="1" applyBorder="1" applyAlignment="1">
      <alignment horizontal="left" vertical="center"/>
    </xf>
    <xf numFmtId="0" fontId="51" fillId="0" borderId="11" xfId="0" applyFont="1" applyBorder="1" applyAlignment="1">
      <alignment horizontal="left" vertical="center" wrapText="1"/>
    </xf>
    <xf numFmtId="0" fontId="51" fillId="0" borderId="11" xfId="0" applyFont="1" applyBorder="1" applyAlignment="1">
      <alignment horizontal="left" vertical="center"/>
    </xf>
    <xf numFmtId="3" fontId="48" fillId="0" borderId="11" xfId="0" applyNumberFormat="1" applyFont="1" applyBorder="1" applyAlignment="1">
      <alignment vertical="center" wrapText="1"/>
    </xf>
    <xf numFmtId="0" fontId="48" fillId="0" borderId="11" xfId="0" applyFont="1" applyBorder="1" applyAlignment="1">
      <alignment horizontal="right" vertical="center" wrapText="1"/>
    </xf>
    <xf numFmtId="0" fontId="47" fillId="0" borderId="11" xfId="0" applyFont="1" applyBorder="1" applyAlignment="1">
      <alignment horizontal="left" vertical="center" wrapText="1"/>
    </xf>
    <xf numFmtId="0" fontId="48" fillId="0" borderId="11" xfId="0" applyFont="1" applyBorder="1" applyAlignment="1">
      <alignment vertical="center"/>
    </xf>
    <xf numFmtId="0" fontId="48" fillId="0" borderId="11" xfId="0" applyFont="1" applyBorder="1" applyAlignment="1">
      <alignment horizontal="center" vertical="center"/>
    </xf>
    <xf numFmtId="0" fontId="51" fillId="0" borderId="7" xfId="0" applyFont="1" applyBorder="1" applyAlignment="1">
      <alignment vertical="center"/>
    </xf>
    <xf numFmtId="0" fontId="51" fillId="0" borderId="7" xfId="0" applyFont="1" applyBorder="1" applyAlignment="1">
      <alignment horizontal="center" vertical="center"/>
    </xf>
    <xf numFmtId="0" fontId="51" fillId="0" borderId="7" xfId="0" applyFont="1" applyBorder="1" applyAlignment="1">
      <alignment horizontal="left" vertical="center" wrapText="1"/>
    </xf>
    <xf numFmtId="0" fontId="51" fillId="0" borderId="7" xfId="0" applyFont="1" applyBorder="1" applyAlignment="1">
      <alignment horizontal="left" vertical="center"/>
    </xf>
    <xf numFmtId="0" fontId="50" fillId="0" borderId="7" xfId="0" applyFont="1" applyBorder="1" applyAlignment="1">
      <alignment horizontal="center" vertical="center" wrapText="1"/>
    </xf>
    <xf numFmtId="0" fontId="50" fillId="0" borderId="7" xfId="0" applyFont="1" applyBorder="1" applyAlignment="1">
      <alignment horizontal="left" vertical="center" wrapText="1"/>
    </xf>
    <xf numFmtId="177" fontId="48" fillId="0" borderId="7" xfId="0" applyNumberFormat="1" applyFont="1" applyBorder="1" applyAlignment="1">
      <alignment horizontal="right" vertical="center" wrapText="1"/>
    </xf>
    <xf numFmtId="0" fontId="53" fillId="0" borderId="7" xfId="0" applyFont="1" applyBorder="1" applyAlignment="1">
      <alignment horizontal="center" vertical="center" wrapText="1"/>
    </xf>
    <xf numFmtId="0" fontId="46" fillId="0" borderId="7" xfId="0" applyFont="1" applyBorder="1" applyAlignment="1">
      <alignment vertical="center" wrapText="1"/>
    </xf>
    <xf numFmtId="0" fontId="32" fillId="0" borderId="7" xfId="38" applyFont="1" applyBorder="1" applyAlignment="1">
      <alignment vertical="center" wrapText="1"/>
    </xf>
    <xf numFmtId="0" fontId="50" fillId="0" borderId="7" xfId="0" applyFont="1" applyBorder="1" applyAlignment="1">
      <alignment horizontal="center" vertical="center"/>
    </xf>
    <xf numFmtId="0" fontId="32" fillId="0" borderId="7" xfId="38" applyFont="1" applyBorder="1" applyAlignment="1">
      <alignment horizontal="left" vertical="center" wrapText="1"/>
    </xf>
    <xf numFmtId="0" fontId="51" fillId="0" borderId="7" xfId="0" applyFont="1" applyBorder="1" applyAlignment="1">
      <alignment horizontal="center" vertical="center" wrapText="1"/>
    </xf>
    <xf numFmtId="172" fontId="36" fillId="0" borderId="7" xfId="0" applyNumberFormat="1" applyFont="1" applyBorder="1" applyAlignment="1">
      <alignment vertical="center"/>
    </xf>
    <xf numFmtId="0" fontId="54" fillId="0" borderId="7" xfId="0" applyFont="1" applyBorder="1" applyAlignment="1">
      <alignment vertical="center" wrapText="1"/>
    </xf>
    <xf numFmtId="3" fontId="24" fillId="0" borderId="7" xfId="0" applyNumberFormat="1" applyFont="1" applyBorder="1" applyAlignment="1">
      <alignment horizontal="center" vertical="center" wrapText="1"/>
    </xf>
    <xf numFmtId="9" fontId="24" fillId="0" borderId="7" xfId="0" applyNumberFormat="1" applyFont="1" applyBorder="1" applyAlignment="1">
      <alignment vertical="center" wrapText="1"/>
    </xf>
    <xf numFmtId="1" fontId="24" fillId="0" borderId="7" xfId="0" applyNumberFormat="1" applyFont="1" applyBorder="1" applyAlignment="1">
      <alignment vertical="center" wrapText="1"/>
    </xf>
    <xf numFmtId="172" fontId="24" fillId="0" borderId="7" xfId="0" applyNumberFormat="1" applyFont="1" applyBorder="1" applyAlignment="1">
      <alignment horizontal="right" vertical="center" wrapText="1"/>
    </xf>
    <xf numFmtId="3" fontId="24" fillId="0" borderId="7" xfId="0" applyNumberFormat="1" applyFont="1" applyBorder="1" applyAlignment="1">
      <alignment horizontal="right" vertical="center"/>
    </xf>
    <xf numFmtId="172" fontId="24" fillId="0" borderId="7" xfId="0" applyNumberFormat="1" applyFont="1" applyBorder="1" applyAlignment="1">
      <alignment vertical="center"/>
    </xf>
    <xf numFmtId="0" fontId="8" fillId="0" borderId="7" xfId="0" applyFont="1" applyBorder="1" applyAlignment="1">
      <alignment vertical="center"/>
    </xf>
    <xf numFmtId="3" fontId="24" fillId="0" borderId="7" xfId="0" applyNumberFormat="1" applyFont="1" applyBorder="1" applyAlignment="1">
      <alignment vertical="center" wrapText="1"/>
    </xf>
    <xf numFmtId="172" fontId="30" fillId="0" borderId="7" xfId="63" applyNumberFormat="1" applyFont="1" applyBorder="1" applyAlignment="1">
      <alignment horizontal="center" vertical="center"/>
    </xf>
    <xf numFmtId="179" fontId="30" fillId="0" borderId="7" xfId="0" applyNumberFormat="1" applyFont="1" applyBorder="1" applyAlignment="1">
      <alignment horizontal="center" vertical="center" wrapText="1"/>
    </xf>
    <xf numFmtId="0" fontId="33" fillId="0" borderId="0" xfId="0" applyFont="1" applyAlignment="1">
      <alignment vertical="center"/>
    </xf>
    <xf numFmtId="0" fontId="33" fillId="0" borderId="0" xfId="0" applyFont="1" applyAlignment="1">
      <alignment horizontal="center" vertical="center"/>
    </xf>
    <xf numFmtId="0" fontId="34" fillId="5" borderId="0" xfId="0" applyFont="1" applyFill="1" applyAlignment="1">
      <alignment vertical="center"/>
    </xf>
    <xf numFmtId="177" fontId="30" fillId="0" borderId="7" xfId="0" applyNumberFormat="1" applyFont="1" applyBorder="1" applyAlignment="1">
      <alignment vertical="center" wrapText="1"/>
    </xf>
    <xf numFmtId="177" fontId="30" fillId="0" borderId="7" xfId="0" applyNumberFormat="1" applyFont="1" applyBorder="1" applyAlignment="1">
      <alignment vertical="center"/>
    </xf>
    <xf numFmtId="0" fontId="39" fillId="0" borderId="7" xfId="0" applyFont="1" applyBorder="1" applyAlignment="1">
      <alignment vertical="center" wrapText="1"/>
    </xf>
    <xf numFmtId="0" fontId="38" fillId="0" borderId="7" xfId="0" applyFont="1" applyBorder="1" applyAlignment="1">
      <alignment vertical="center" wrapText="1"/>
    </xf>
    <xf numFmtId="0" fontId="41" fillId="0" borderId="7" xfId="0" applyFont="1" applyBorder="1" applyAlignment="1">
      <alignment vertical="center" wrapText="1"/>
    </xf>
    <xf numFmtId="177" fontId="24" fillId="0" borderId="7" xfId="0" applyNumberFormat="1" applyFont="1" applyBorder="1" applyAlignment="1">
      <alignment vertical="center" wrapText="1"/>
    </xf>
    <xf numFmtId="177" fontId="24" fillId="0" borderId="7" xfId="0" applyNumberFormat="1" applyFont="1" applyBorder="1" applyAlignment="1">
      <alignment vertical="center"/>
    </xf>
    <xf numFmtId="177" fontId="30" fillId="0" borderId="12" xfId="0" applyNumberFormat="1" applyFont="1" applyBorder="1" applyAlignment="1">
      <alignment vertical="center" wrapText="1"/>
    </xf>
    <xf numFmtId="177" fontId="30" fillId="0" borderId="12" xfId="0" applyNumberFormat="1" applyFont="1" applyBorder="1" applyAlignment="1">
      <alignment vertical="center"/>
    </xf>
    <xf numFmtId="0" fontId="8" fillId="0" borderId="3" xfId="35" applyFont="1" applyBorder="1" applyAlignment="1">
      <alignment horizontal="center" vertical="center"/>
    </xf>
    <xf numFmtId="0" fontId="8" fillId="0" borderId="2" xfId="35" applyFont="1" applyBorder="1" applyAlignment="1">
      <alignment horizontal="center" vertical="center"/>
    </xf>
    <xf numFmtId="0" fontId="11" fillId="0" borderId="1" xfId="35" applyFont="1" applyBorder="1" applyAlignment="1">
      <alignment horizontal="center" vertical="center" wrapText="1"/>
    </xf>
    <xf numFmtId="0" fontId="11" fillId="0" borderId="3" xfId="35" applyFont="1" applyBorder="1" applyAlignment="1">
      <alignment horizontal="center" vertical="center" wrapText="1"/>
    </xf>
    <xf numFmtId="0" fontId="11" fillId="0" borderId="2" xfId="35" applyFont="1" applyBorder="1" applyAlignment="1">
      <alignment horizontal="center" vertical="center" wrapText="1"/>
    </xf>
    <xf numFmtId="0" fontId="5" fillId="2" borderId="4" xfId="43" applyFont="1" applyFill="1" applyBorder="1" applyAlignment="1">
      <alignment horizontal="center" vertical="center" wrapText="1"/>
    </xf>
    <xf numFmtId="0" fontId="5" fillId="2" borderId="5" xfId="43" applyFont="1" applyFill="1" applyBorder="1" applyAlignment="1">
      <alignment horizontal="center" vertical="center" wrapText="1"/>
    </xf>
    <xf numFmtId="0" fontId="5" fillId="2" borderId="6" xfId="43" applyFont="1" applyFill="1" applyBorder="1" applyAlignment="1">
      <alignment horizontal="center" vertical="center" wrapText="1"/>
    </xf>
    <xf numFmtId="0" fontId="6" fillId="2" borderId="1" xfId="44" applyFont="1" applyFill="1" applyBorder="1" applyAlignment="1">
      <alignment horizontal="center" vertical="center" wrapText="1"/>
    </xf>
    <xf numFmtId="0" fontId="6" fillId="0" borderId="1" xfId="39" applyFont="1" applyBorder="1" applyAlignment="1">
      <alignment horizontal="center" vertical="center" wrapText="1"/>
    </xf>
    <xf numFmtId="14" fontId="6" fillId="0" borderId="1" xfId="39" applyNumberFormat="1" applyFont="1" applyBorder="1" applyAlignment="1">
      <alignment horizontal="center" vertical="center" wrapText="1"/>
    </xf>
    <xf numFmtId="0" fontId="4" fillId="0" borderId="1" xfId="44" applyFont="1" applyBorder="1" applyAlignment="1">
      <alignment horizontal="center" vertical="center" wrapText="1"/>
    </xf>
    <xf numFmtId="0" fontId="4" fillId="0" borderId="1" xfId="38" applyFont="1" applyBorder="1" applyAlignment="1">
      <alignment horizontal="center" vertical="center" wrapText="1"/>
    </xf>
    <xf numFmtId="0" fontId="4" fillId="0" borderId="1" xfId="39" applyFont="1" applyBorder="1" applyAlignment="1">
      <alignment horizontal="center" vertical="center" wrapText="1"/>
    </xf>
    <xf numFmtId="0" fontId="4" fillId="0" borderId="1" xfId="43" applyFont="1" applyBorder="1" applyAlignment="1">
      <alignment horizontal="center" vertical="center" wrapText="1"/>
    </xf>
    <xf numFmtId="0" fontId="2" fillId="2" borderId="2" xfId="43" applyFont="1" applyFill="1" applyBorder="1" applyAlignment="1">
      <alignment horizontal="center" vertical="center"/>
    </xf>
    <xf numFmtId="0" fontId="5" fillId="2" borderId="13" xfId="43" applyFont="1" applyFill="1" applyBorder="1" applyAlignment="1">
      <alignment horizontal="center" vertical="center" wrapText="1"/>
    </xf>
    <xf numFmtId="0" fontId="47" fillId="0" borderId="7" xfId="0" applyFont="1" applyBorder="1" applyAlignment="1">
      <alignment horizontal="center" vertical="center"/>
    </xf>
    <xf numFmtId="0" fontId="47" fillId="0" borderId="7" xfId="0" applyFont="1" applyBorder="1" applyAlignment="1">
      <alignment horizontal="center" vertical="center" wrapText="1"/>
    </xf>
    <xf numFmtId="0" fontId="47" fillId="0" borderId="7" xfId="0" applyFont="1" applyBorder="1" applyAlignment="1">
      <alignment horizontal="left" vertical="center" wrapText="1"/>
    </xf>
    <xf numFmtId="172" fontId="30" fillId="0" borderId="7" xfId="0" applyNumberFormat="1" applyFont="1" applyBorder="1" applyAlignment="1">
      <alignment horizontal="center" vertical="center" wrapText="1"/>
    </xf>
    <xf numFmtId="172" fontId="36" fillId="0" borderId="7" xfId="0" applyNumberFormat="1" applyFont="1" applyBorder="1" applyAlignment="1">
      <alignment vertical="center"/>
    </xf>
    <xf numFmtId="0" fontId="30" fillId="0" borderId="7" xfId="0" applyFont="1" applyBorder="1" applyAlignment="1">
      <alignment horizontal="center" vertical="center" wrapText="1"/>
    </xf>
    <xf numFmtId="0" fontId="36" fillId="0" borderId="7" xfId="0" applyFont="1" applyBorder="1" applyAlignment="1">
      <alignment vertical="center"/>
    </xf>
    <xf numFmtId="0" fontId="47" fillId="0" borderId="12" xfId="0" applyFont="1" applyBorder="1" applyAlignment="1">
      <alignment horizontal="center" vertical="center"/>
    </xf>
    <xf numFmtId="0" fontId="47" fillId="0" borderId="12" xfId="0" applyFont="1" applyBorder="1" applyAlignment="1">
      <alignment horizontal="center" vertical="center" wrapText="1"/>
    </xf>
    <xf numFmtId="0" fontId="47" fillId="0" borderId="12" xfId="0" applyFont="1" applyBorder="1" applyAlignment="1">
      <alignment horizontal="left" vertical="center" wrapText="1"/>
    </xf>
    <xf numFmtId="172" fontId="36" fillId="0" borderId="12" xfId="0" applyNumberFormat="1" applyFont="1" applyBorder="1" applyAlignment="1">
      <alignment vertical="center"/>
    </xf>
    <xf numFmtId="0" fontId="36" fillId="0" borderId="12" xfId="0" applyFont="1" applyBorder="1" applyAlignment="1">
      <alignment vertical="center"/>
    </xf>
    <xf numFmtId="3" fontId="30" fillId="0" borderId="7" xfId="0" applyNumberFormat="1" applyFont="1" applyBorder="1" applyAlignment="1">
      <alignment horizontal="center" vertical="center" wrapText="1"/>
    </xf>
    <xf numFmtId="9" fontId="30" fillId="0" borderId="7" xfId="0" applyNumberFormat="1" applyFont="1" applyBorder="1" applyAlignment="1">
      <alignment horizontal="center" vertical="center" wrapText="1"/>
    </xf>
    <xf numFmtId="172" fontId="30" fillId="0" borderId="7" xfId="0" applyNumberFormat="1" applyFont="1" applyBorder="1" applyAlignment="1">
      <alignment horizontal="center" vertical="center"/>
    </xf>
    <xf numFmtId="172" fontId="24" fillId="0" borderId="7" xfId="0" applyNumberFormat="1" applyFont="1" applyBorder="1" applyAlignment="1">
      <alignment horizontal="center" vertical="center" wrapText="1"/>
    </xf>
    <xf numFmtId="0" fontId="24" fillId="0" borderId="7" xfId="0" applyFont="1" applyBorder="1" applyAlignment="1">
      <alignment horizontal="center" vertical="center" wrapText="1"/>
    </xf>
    <xf numFmtId="172" fontId="30" fillId="0" borderId="9" xfId="0" applyNumberFormat="1" applyFont="1" applyBorder="1" applyAlignment="1">
      <alignment horizontal="center" vertical="center" wrapText="1"/>
    </xf>
    <xf numFmtId="172" fontId="30" fillId="0" borderId="10" xfId="0" applyNumberFormat="1" applyFont="1" applyBorder="1" applyAlignment="1">
      <alignment horizontal="center" vertical="center" wrapText="1"/>
    </xf>
    <xf numFmtId="172" fontId="30" fillId="0" borderId="8" xfId="0" applyNumberFormat="1" applyFont="1" applyBorder="1" applyAlignment="1">
      <alignment horizontal="center" vertical="center" wrapText="1"/>
    </xf>
    <xf numFmtId="0" fontId="47" fillId="0" borderId="7" xfId="0" applyFont="1" applyBorder="1" applyAlignment="1">
      <alignment vertical="center" wrapText="1"/>
    </xf>
    <xf numFmtId="0" fontId="30" fillId="0" borderId="7" xfId="0" applyFont="1" applyBorder="1" applyAlignment="1">
      <alignment horizontal="center" vertical="center"/>
    </xf>
    <xf numFmtId="0" fontId="30" fillId="0" borderId="7" xfId="0" applyFont="1" applyBorder="1" applyAlignment="1">
      <alignment vertical="center" wrapText="1"/>
    </xf>
    <xf numFmtId="0" fontId="24" fillId="0" borderId="7" xfId="0" applyFont="1" applyBorder="1" applyAlignment="1">
      <alignment horizontal="center" vertical="center"/>
    </xf>
    <xf numFmtId="0" fontId="54" fillId="0" borderId="7" xfId="0" applyFont="1" applyBorder="1" applyAlignment="1">
      <alignment horizontal="center" vertical="center" wrapText="1"/>
    </xf>
    <xf numFmtId="9" fontId="30" fillId="0" borderId="7" xfId="0" applyNumberFormat="1" applyFont="1" applyBorder="1" applyAlignment="1">
      <alignment horizontal="center" vertical="center"/>
    </xf>
    <xf numFmtId="0" fontId="47" fillId="0" borderId="7" xfId="0" applyFont="1" applyBorder="1" applyAlignment="1">
      <alignment horizontal="left" vertical="center"/>
    </xf>
  </cellXfs>
  <cellStyles count="86">
    <cellStyle name="Error" xfId="82" xr:uid="{00000000-0005-0000-0000-000000000000}"/>
    <cellStyle name="Euro" xfId="1" xr:uid="{00000000-0005-0000-0000-000001000000}"/>
    <cellStyle name="Euro 2" xfId="2" xr:uid="{00000000-0005-0000-0000-000002000000}"/>
    <cellStyle name="Excel Built-in Normal" xfId="3" xr:uid="{00000000-0005-0000-0000-000003000000}"/>
    <cellStyle name="Excel Built-in Normal 1" xfId="4" xr:uid="{00000000-0005-0000-0000-000004000000}"/>
    <cellStyle name="Excel Built-in Normal 2" xfId="5" xr:uid="{00000000-0005-0000-0000-000005000000}"/>
    <cellStyle name="Excel_BuiltIn_Texto explicativo" xfId="6" xr:uid="{00000000-0005-0000-0000-000006000000}"/>
    <cellStyle name="Millares [0] 2" xfId="7" xr:uid="{00000000-0005-0000-0000-000009000000}"/>
    <cellStyle name="Millares [0] 2 2" xfId="77" xr:uid="{00000000-0005-0000-0000-00000A000000}"/>
    <cellStyle name="Millares [0] 3" xfId="8" xr:uid="{00000000-0005-0000-0000-00000B000000}"/>
    <cellStyle name="Millares [0] 4" xfId="9" xr:uid="{00000000-0005-0000-0000-00000C000000}"/>
    <cellStyle name="Millares [0] 5" xfId="10" xr:uid="{00000000-0005-0000-0000-00000D000000}"/>
    <cellStyle name="Millares [0] 5 2" xfId="11" xr:uid="{00000000-0005-0000-0000-00000E000000}"/>
    <cellStyle name="Millares [0] 6" xfId="12" xr:uid="{00000000-0005-0000-0000-00000F000000}"/>
    <cellStyle name="Millares 10" xfId="13" xr:uid="{00000000-0005-0000-0000-000010000000}"/>
    <cellStyle name="Millares 11" xfId="14" xr:uid="{00000000-0005-0000-0000-000011000000}"/>
    <cellStyle name="Millares 12" xfId="15" xr:uid="{00000000-0005-0000-0000-000012000000}"/>
    <cellStyle name="Millares 2" xfId="16" xr:uid="{00000000-0005-0000-0000-000013000000}"/>
    <cellStyle name="Millares 2 2" xfId="17" xr:uid="{00000000-0005-0000-0000-000014000000}"/>
    <cellStyle name="Millares 2 2 2" xfId="18" xr:uid="{00000000-0005-0000-0000-000015000000}"/>
    <cellStyle name="Millares 2 2 2 2" xfId="19" xr:uid="{00000000-0005-0000-0000-000016000000}"/>
    <cellStyle name="Millares 2 2 3" xfId="20" xr:uid="{00000000-0005-0000-0000-000017000000}"/>
    <cellStyle name="Millares 2 3" xfId="21" xr:uid="{00000000-0005-0000-0000-000018000000}"/>
    <cellStyle name="Millares 3" xfId="22" xr:uid="{00000000-0005-0000-0000-000019000000}"/>
    <cellStyle name="Millares 4" xfId="23" xr:uid="{00000000-0005-0000-0000-00001A000000}"/>
    <cellStyle name="Millares 4 2" xfId="24" xr:uid="{00000000-0005-0000-0000-00001B000000}"/>
    <cellStyle name="Millares 5" xfId="25" xr:uid="{00000000-0005-0000-0000-00001C000000}"/>
    <cellStyle name="Millares 5 2" xfId="26" xr:uid="{00000000-0005-0000-0000-00001D000000}"/>
    <cellStyle name="Millares 6" xfId="27" xr:uid="{00000000-0005-0000-0000-00001E000000}"/>
    <cellStyle name="Millares 7" xfId="28" xr:uid="{00000000-0005-0000-0000-00001F000000}"/>
    <cellStyle name="Millares 8" xfId="29" xr:uid="{00000000-0005-0000-0000-000020000000}"/>
    <cellStyle name="Millares 9" xfId="30" xr:uid="{00000000-0005-0000-0000-000021000000}"/>
    <cellStyle name="Moneda [0] 2" xfId="76" xr:uid="{00000000-0005-0000-0000-000024000000}"/>
    <cellStyle name="Moneda [0] 3" xfId="31" xr:uid="{00000000-0005-0000-0000-000025000000}"/>
    <cellStyle name="Moneda [0] 5" xfId="32" xr:uid="{00000000-0005-0000-0000-000026000000}"/>
    <cellStyle name="Moneda 2" xfId="33" xr:uid="{00000000-0005-0000-0000-000027000000}"/>
    <cellStyle name="Moneda 5" xfId="34" xr:uid="{00000000-0005-0000-0000-000028000000}"/>
    <cellStyle name="Normal" xfId="0" builtinId="0"/>
    <cellStyle name="Normal 10 2" xfId="84" xr:uid="{311F6B21-7B6F-4204-9FCF-E8DF16C6619D}"/>
    <cellStyle name="Normal 11" xfId="85" xr:uid="{B266DC12-DB12-4FBC-8ED7-FB3914FF6FDE}"/>
    <cellStyle name="Normal 112" xfId="35" xr:uid="{00000000-0005-0000-0000-00002A000000}"/>
    <cellStyle name="Normal 113" xfId="36" xr:uid="{00000000-0005-0000-0000-00002B000000}"/>
    <cellStyle name="Normal 114" xfId="37" xr:uid="{00000000-0005-0000-0000-00002C000000}"/>
    <cellStyle name="Normal 2" xfId="38" xr:uid="{00000000-0005-0000-0000-00002D000000}"/>
    <cellStyle name="Normal 2 2" xfId="39" xr:uid="{00000000-0005-0000-0000-00002E000000}"/>
    <cellStyle name="Normal 2 2 2" xfId="40" xr:uid="{00000000-0005-0000-0000-00002F000000}"/>
    <cellStyle name="Normal 2 3" xfId="41" xr:uid="{00000000-0005-0000-0000-000030000000}"/>
    <cellStyle name="Normal 2 3 2" xfId="42" xr:uid="{00000000-0005-0000-0000-000031000000}"/>
    <cellStyle name="Normal 3" xfId="43" xr:uid="{00000000-0005-0000-0000-000032000000}"/>
    <cellStyle name="Normal 3 2" xfId="44" xr:uid="{00000000-0005-0000-0000-000033000000}"/>
    <cellStyle name="Normal 3 2 2" xfId="45" xr:uid="{00000000-0005-0000-0000-000034000000}"/>
    <cellStyle name="Normal 3 2 2 2" xfId="46" xr:uid="{00000000-0005-0000-0000-000035000000}"/>
    <cellStyle name="Normal 3 2 3" xfId="47" xr:uid="{00000000-0005-0000-0000-000036000000}"/>
    <cellStyle name="Normal 3 2_Cuadro 1F Plan de Accion 2012" xfId="48" xr:uid="{00000000-0005-0000-0000-000037000000}"/>
    <cellStyle name="Normal 3 3" xfId="49" xr:uid="{00000000-0005-0000-0000-000038000000}"/>
    <cellStyle name="Normal 3 3 2" xfId="75" xr:uid="{00000000-0005-0000-0000-000039000000}"/>
    <cellStyle name="Normal 3 4" xfId="50" xr:uid="{00000000-0005-0000-0000-00003A000000}"/>
    <cellStyle name="Normal 3_Copia de Cuadro 1F Plan de Accion 2012" xfId="51" xr:uid="{00000000-0005-0000-0000-00003B000000}"/>
    <cellStyle name="Normal 4" xfId="52" xr:uid="{00000000-0005-0000-0000-00003D000000}"/>
    <cellStyle name="Normal 46" xfId="53" xr:uid="{00000000-0005-0000-0000-00003E000000}"/>
    <cellStyle name="Normal 47" xfId="54" xr:uid="{00000000-0005-0000-0000-00003F000000}"/>
    <cellStyle name="Normal 48" xfId="55" xr:uid="{00000000-0005-0000-0000-000040000000}"/>
    <cellStyle name="Normal 5" xfId="56" xr:uid="{00000000-0005-0000-0000-000041000000}"/>
    <cellStyle name="Normal 5 2" xfId="57" xr:uid="{00000000-0005-0000-0000-000042000000}"/>
    <cellStyle name="Normal 6" xfId="58" xr:uid="{00000000-0005-0000-0000-000043000000}"/>
    <cellStyle name="Normal 6 2" xfId="59" xr:uid="{00000000-0005-0000-0000-000044000000}"/>
    <cellStyle name="Normal 7" xfId="60" xr:uid="{00000000-0005-0000-0000-000045000000}"/>
    <cellStyle name="Normal 8" xfId="61" xr:uid="{00000000-0005-0000-0000-000046000000}"/>
    <cellStyle name="Normal 8 2" xfId="62" xr:uid="{00000000-0005-0000-0000-000047000000}"/>
    <cellStyle name="Normal 8 2 2" xfId="81" xr:uid="{00000000-0005-0000-0000-000048000000}"/>
    <cellStyle name="Normal 8 2 2 2" xfId="83" xr:uid="{00000000-0005-0000-0000-000049000000}"/>
    <cellStyle name="Normal 8 3" xfId="80" xr:uid="{00000000-0005-0000-0000-00004A000000}"/>
    <cellStyle name="Porcentaje" xfId="63" builtinId="5"/>
    <cellStyle name="Porcentaje 2" xfId="64" xr:uid="{00000000-0005-0000-0000-00004D000000}"/>
    <cellStyle name="Porcentaje 2 2" xfId="65" xr:uid="{00000000-0005-0000-0000-00004E000000}"/>
    <cellStyle name="Porcentaje 3" xfId="66" xr:uid="{00000000-0005-0000-0000-00004F000000}"/>
    <cellStyle name="Porcentaje 3 2" xfId="67" xr:uid="{00000000-0005-0000-0000-000050000000}"/>
    <cellStyle name="Porcentaje 3 2 2" xfId="68" xr:uid="{00000000-0005-0000-0000-000051000000}"/>
    <cellStyle name="Porcentaje 3 2 2 2" xfId="69" xr:uid="{00000000-0005-0000-0000-000052000000}"/>
    <cellStyle name="Porcentaje 3 3" xfId="79" xr:uid="{00000000-0005-0000-0000-000053000000}"/>
    <cellStyle name="Porcentaje 4" xfId="70" xr:uid="{00000000-0005-0000-0000-000054000000}"/>
    <cellStyle name="Porcentaje 5" xfId="78" xr:uid="{00000000-0005-0000-0000-000055000000}"/>
    <cellStyle name="Porcentual 2" xfId="71" xr:uid="{00000000-0005-0000-0000-000056000000}"/>
    <cellStyle name="Porcentual 3" xfId="72" xr:uid="{00000000-0005-0000-0000-000057000000}"/>
    <cellStyle name="Porcentual 4" xfId="73" xr:uid="{00000000-0005-0000-0000-000058000000}"/>
    <cellStyle name="Porcentual 5" xfId="74" xr:uid="{00000000-0005-0000-0000-00005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200" b="0" i="0" u="none" strike="noStrike" baseline="0">
                <a:solidFill>
                  <a:srgbClr val="333333"/>
                </a:solidFill>
                <a:latin typeface="Arial Narrow"/>
              </a:rPr>
              <a:t>Ejecución presupuestal</a:t>
            </a:r>
          </a:p>
          <a:p>
            <a:pPr>
              <a:defRPr sz="1000" b="0" i="0" u="none" strike="noStrike" baseline="0">
                <a:solidFill>
                  <a:srgbClr val="000000"/>
                </a:solidFill>
                <a:latin typeface="Calibri"/>
                <a:ea typeface="Calibri"/>
                <a:cs typeface="Calibri"/>
              </a:defRPr>
            </a:pPr>
            <a:r>
              <a:rPr lang="es-CO" sz="1200" b="0" i="0" u="none" strike="noStrike" baseline="0">
                <a:solidFill>
                  <a:srgbClr val="333333"/>
                </a:solidFill>
                <a:latin typeface="Arial Narrow"/>
              </a:rPr>
              <a:t> Administación Central</a:t>
            </a:r>
          </a:p>
          <a:p>
            <a:pPr>
              <a:defRPr sz="1000" b="0" i="0" u="none" strike="noStrike" baseline="0">
                <a:solidFill>
                  <a:srgbClr val="000000"/>
                </a:solidFill>
                <a:latin typeface="Calibri"/>
                <a:ea typeface="Calibri"/>
                <a:cs typeface="Calibri"/>
              </a:defRPr>
            </a:pPr>
            <a:r>
              <a:rPr lang="es-CO" sz="1200" b="0" i="0" u="none" strike="noStrike" baseline="0">
                <a:solidFill>
                  <a:srgbClr val="333333"/>
                </a:solidFill>
                <a:latin typeface="Arial Narrow"/>
              </a:rPr>
              <a:t>Enero- Marzo de 2024</a:t>
            </a:r>
          </a:p>
        </c:rich>
      </c:tx>
      <c:overlay val="0"/>
      <c:spPr>
        <a:noFill/>
        <a:ln w="25400">
          <a:noFill/>
        </a:ln>
      </c:spPr>
    </c:title>
    <c:autoTitleDeleted val="0"/>
    <c:plotArea>
      <c:layout>
        <c:manualLayout>
          <c:layoutTarget val="inner"/>
          <c:xMode val="edge"/>
          <c:yMode val="edge"/>
          <c:x val="0.24705940553242367"/>
          <c:y val="0.31072982031092267"/>
          <c:w val="0.52010333786810692"/>
          <c:h val="0.61132146174035951"/>
        </c:manualLayout>
      </c:layout>
      <c:doughnutChart>
        <c:varyColors val="1"/>
        <c:ser>
          <c:idx val="0"/>
          <c:order val="0"/>
          <c:tx>
            <c:strRef>
              <c:f>'Marzo de 2024'!$B$19</c:f>
              <c:strCache>
                <c:ptCount val="1"/>
                <c:pt idx="0">
                  <c:v>Segmento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A58A-4EA7-A835-EC4FC0FFF2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A58A-4EA7-A835-EC4FC0FFF2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A58A-4EA7-A835-EC4FC0FFF2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A58A-4EA7-A835-EC4FC0FFF2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A58A-4EA7-A835-EC4FC0FFF24A}"/>
              </c:ext>
            </c:extLst>
          </c:dPt>
          <c:dPt>
            <c:idx val="5"/>
            <c:bubble3D val="0"/>
            <c:spPr>
              <a:noFill/>
              <a:ln w="19050">
                <a:solidFill>
                  <a:schemeClr val="lt1"/>
                </a:solidFill>
              </a:ln>
              <a:effectLst/>
            </c:spPr>
            <c:extLst>
              <c:ext xmlns:c16="http://schemas.microsoft.com/office/drawing/2014/chart" uri="{C3380CC4-5D6E-409C-BE32-E72D297353CC}">
                <c16:uniqueId val="{00000005-A58A-4EA7-A835-EC4FC0FFF24A}"/>
              </c:ext>
            </c:extLst>
          </c:dPt>
          <c:dLbls>
            <c:dLbl>
              <c:idx val="0"/>
              <c:layout>
                <c:manualLayout>
                  <c:x val="-7.9988456940264699E-2"/>
                  <c:y val="5.5555501716131488E-2"/>
                </c:manualLayout>
              </c:layout>
              <c:tx>
                <c:rich>
                  <a:bodyPr/>
                  <a:lstStyle/>
                  <a:p>
                    <a:pPr>
                      <a:defRPr sz="900" b="0" i="0" u="none" strike="noStrike" baseline="0">
                        <a:solidFill>
                          <a:srgbClr val="333333"/>
                        </a:solidFill>
                        <a:latin typeface="Calibri"/>
                        <a:ea typeface="Calibri"/>
                        <a:cs typeface="Calibri"/>
                      </a:defRPr>
                    </a:pPr>
                    <a:r>
                      <a:rPr lang="en-US"/>
                      <a:t>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58A-4EA7-A835-EC4FC0FFF24A}"/>
                </c:ext>
              </c:extLst>
            </c:dLbl>
            <c:dLbl>
              <c:idx val="1"/>
              <c:layout>
                <c:manualLayout>
                  <c:x val="-0.11403443679487708"/>
                  <c:y val="-7.521280634891811E-17"/>
                </c:manualLayout>
              </c:layout>
              <c:tx>
                <c:rich>
                  <a:bodyPr/>
                  <a:lstStyle/>
                  <a:p>
                    <a:pPr>
                      <a:defRPr sz="900" b="0" i="0" u="none" strike="noStrike" baseline="0">
                        <a:solidFill>
                          <a:srgbClr val="333333"/>
                        </a:solidFill>
                        <a:latin typeface="Calibri"/>
                        <a:ea typeface="Calibri"/>
                        <a:cs typeface="Calibri"/>
                      </a:defRPr>
                    </a:pPr>
                    <a:r>
                      <a:rPr lang="en-US"/>
                      <a:t>20%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58A-4EA7-A835-EC4FC0FFF24A}"/>
                </c:ext>
              </c:extLst>
            </c:dLbl>
            <c:dLbl>
              <c:idx val="2"/>
              <c:layout>
                <c:manualLayout>
                  <c:x val="-8.9747014607467257E-2"/>
                  <c:y val="-6.7863194023823945E-2"/>
                </c:manualLayout>
              </c:layout>
              <c:tx>
                <c:rich>
                  <a:bodyPr/>
                  <a:lstStyle/>
                  <a:p>
                    <a:pPr>
                      <a:defRPr sz="900" b="0" i="0" u="none" strike="noStrike" baseline="0">
                        <a:solidFill>
                          <a:srgbClr val="333333"/>
                        </a:solidFill>
                        <a:latin typeface="Calibri"/>
                        <a:ea typeface="Calibri"/>
                        <a:cs typeface="Calibri"/>
                      </a:defRPr>
                    </a:pPr>
                    <a:r>
                      <a:rPr lang="en-US"/>
                      <a:t>40%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58A-4EA7-A835-EC4FC0FFF24A}"/>
                </c:ext>
              </c:extLst>
            </c:dLbl>
            <c:dLbl>
              <c:idx val="3"/>
              <c:layout>
                <c:manualLayout>
                  <c:x val="-2.7138008272526142E-2"/>
                  <c:y val="-0.1100569351907935"/>
                </c:manualLayout>
              </c:layout>
              <c:tx>
                <c:rich>
                  <a:bodyPr/>
                  <a:lstStyle/>
                  <a:p>
                    <a:pPr>
                      <a:defRPr sz="900" b="0" i="0" u="none" strike="noStrike" baseline="0">
                        <a:solidFill>
                          <a:srgbClr val="333333"/>
                        </a:solidFill>
                        <a:latin typeface="Calibri"/>
                        <a:ea typeface="Calibri"/>
                        <a:cs typeface="Calibri"/>
                      </a:defRPr>
                    </a:pPr>
                    <a:r>
                      <a:rPr lang="en-US"/>
                      <a:t>60%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58A-4EA7-A835-EC4FC0FFF24A}"/>
                </c:ext>
              </c:extLst>
            </c:dLbl>
            <c:dLbl>
              <c:idx val="4"/>
              <c:layout>
                <c:manualLayout>
                  <c:x val="2.7777823583570251E-2"/>
                  <c:y val="-0.12699438724005654"/>
                </c:manualLayout>
              </c:layout>
              <c:tx>
                <c:rich>
                  <a:bodyPr/>
                  <a:lstStyle/>
                  <a:p>
                    <a:pPr>
                      <a:defRPr sz="900" b="0" i="0" u="none" strike="noStrike" baseline="0">
                        <a:solidFill>
                          <a:srgbClr val="333333"/>
                        </a:solidFill>
                        <a:latin typeface="Calibri"/>
                        <a:ea typeface="Calibri"/>
                        <a:cs typeface="Calibri"/>
                      </a:defRPr>
                    </a:pPr>
                    <a:r>
                      <a:rPr lang="en-US"/>
                      <a:t>80%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58A-4EA7-A835-EC4FC0FFF24A}"/>
                </c:ext>
              </c:extLst>
            </c:dLbl>
            <c:dLbl>
              <c:idx val="5"/>
              <c:layout>
                <c:manualLayout>
                  <c:x val="0.30257410232097953"/>
                  <c:y val="-0.26851863517060365"/>
                </c:manualLayout>
              </c:layout>
              <c:tx>
                <c:rich>
                  <a:bodyPr/>
                  <a:lstStyle/>
                  <a:p>
                    <a:pPr>
                      <a:defRPr sz="900" b="0" i="0" u="none" strike="noStrike" baseline="0">
                        <a:solidFill>
                          <a:srgbClr val="333333"/>
                        </a:solidFill>
                        <a:latin typeface="Calibri"/>
                        <a:ea typeface="Calibri"/>
                        <a:cs typeface="Calibri"/>
                      </a:defRPr>
                    </a:pPr>
                    <a:r>
                      <a:rPr lang="en-US"/>
                      <a:t>100%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58A-4EA7-A835-EC4FC0FFF24A}"/>
                </c:ext>
              </c:extLst>
            </c:dLbl>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ES"/>
              </a:p>
            </c:txPr>
            <c:showLegendKey val="0"/>
            <c:showVal val="1"/>
            <c:showCatName val="0"/>
            <c:showSerName val="1"/>
            <c:showPercent val="0"/>
            <c:showBubbleSize val="0"/>
            <c:showLeaderLines val="0"/>
            <c:extLst>
              <c:ext xmlns:c15="http://schemas.microsoft.com/office/drawing/2012/chart" uri="{CE6537A1-D6FC-4f65-9D91-7224C49458BB}"/>
            </c:extLst>
          </c:dLbls>
          <c:cat>
            <c:numRef>
              <c:f>'Marzo de 2024'!$A$20:$A$25</c:f>
              <c:numCache>
                <c:formatCode>0.00%</c:formatCode>
                <c:ptCount val="6"/>
                <c:pt idx="0">
                  <c:v>0</c:v>
                </c:pt>
                <c:pt idx="1">
                  <c:v>0.2</c:v>
                </c:pt>
                <c:pt idx="2">
                  <c:v>0.4</c:v>
                </c:pt>
                <c:pt idx="3">
                  <c:v>0.6</c:v>
                </c:pt>
                <c:pt idx="4">
                  <c:v>0.8</c:v>
                </c:pt>
                <c:pt idx="5">
                  <c:v>1</c:v>
                </c:pt>
              </c:numCache>
            </c:numRef>
          </c:cat>
          <c:val>
            <c:numRef>
              <c:f>'Marzo de 2024'!$B$20:$B$25</c:f>
              <c:numCache>
                <c:formatCode>General</c:formatCode>
                <c:ptCount val="6"/>
                <c:pt idx="0">
                  <c:v>0.2</c:v>
                </c:pt>
                <c:pt idx="1">
                  <c:v>0.2</c:v>
                </c:pt>
                <c:pt idx="2">
                  <c:v>0.2</c:v>
                </c:pt>
                <c:pt idx="3">
                  <c:v>0.2</c:v>
                </c:pt>
                <c:pt idx="4">
                  <c:v>0.2</c:v>
                </c:pt>
                <c:pt idx="5">
                  <c:v>1</c:v>
                </c:pt>
              </c:numCache>
            </c:numRef>
          </c:val>
          <c:extLst>
            <c:ext xmlns:c16="http://schemas.microsoft.com/office/drawing/2014/chart" uri="{C3380CC4-5D6E-409C-BE32-E72D297353CC}">
              <c16:uniqueId val="{00000006-A58A-4EA7-A835-EC4FC0FFF24A}"/>
            </c:ext>
          </c:extLst>
        </c:ser>
        <c:dLbls>
          <c:showLegendKey val="0"/>
          <c:showVal val="0"/>
          <c:showCatName val="0"/>
          <c:showSerName val="0"/>
          <c:showPercent val="0"/>
          <c:showBubbleSize val="0"/>
          <c:showLeaderLines val="0"/>
        </c:dLbls>
        <c:firstSliceAng val="270"/>
        <c:holeSize val="74"/>
      </c:doughnutChart>
      <c:scatterChart>
        <c:scatterStyle val="lineMarker"/>
        <c:varyColors val="0"/>
        <c:ser>
          <c:idx val="1"/>
          <c:order val="1"/>
          <c:tx>
            <c:strRef>
              <c:f>'Marzo de 2024'!$A$27</c:f>
              <c:strCache>
                <c:ptCount val="1"/>
                <c:pt idx="0">
                  <c:v>Grados1</c:v>
                </c:pt>
              </c:strCache>
            </c:strRef>
          </c:tx>
          <c:spPr>
            <a:ln w="38100" cap="rnd">
              <a:solidFill>
                <a:schemeClr val="accent6">
                  <a:lumMod val="75000"/>
                </a:schemeClr>
              </a:solidFill>
              <a:round/>
            </a:ln>
            <a:effectLst/>
          </c:spPr>
          <c:marker>
            <c:symbol val="circle"/>
            <c:size val="5"/>
            <c:spPr>
              <a:noFill/>
              <a:ln w="9525">
                <a:solidFill>
                  <a:schemeClr val="accent2"/>
                </a:solidFill>
              </a:ln>
              <a:effectLst/>
            </c:spPr>
          </c:marker>
          <c:xVal>
            <c:numRef>
              <c:f>'Marzo de 2024'!$B$30:$B$31</c:f>
              <c:numCache>
                <c:formatCode>0.0000</c:formatCode>
                <c:ptCount val="2"/>
                <c:pt idx="0" formatCode="General">
                  <c:v>0</c:v>
                </c:pt>
                <c:pt idx="1">
                  <c:v>-0.85116384150674207</c:v>
                </c:pt>
              </c:numCache>
            </c:numRef>
          </c:xVal>
          <c:yVal>
            <c:numRef>
              <c:f>'Marzo de 2024'!$C$30:$C$31</c:f>
              <c:numCache>
                <c:formatCode>0.0000</c:formatCode>
                <c:ptCount val="2"/>
                <c:pt idx="0" formatCode="General">
                  <c:v>0</c:v>
                </c:pt>
                <c:pt idx="1">
                  <c:v>0.52490009993472619</c:v>
                </c:pt>
              </c:numCache>
            </c:numRef>
          </c:yVal>
          <c:smooth val="0"/>
          <c:extLst>
            <c:ext xmlns:c16="http://schemas.microsoft.com/office/drawing/2014/chart" uri="{C3380CC4-5D6E-409C-BE32-E72D297353CC}">
              <c16:uniqueId val="{00000007-A58A-4EA7-A835-EC4FC0FFF24A}"/>
            </c:ext>
          </c:extLst>
        </c:ser>
        <c:dLbls>
          <c:showLegendKey val="0"/>
          <c:showVal val="0"/>
          <c:showCatName val="0"/>
          <c:showSerName val="0"/>
          <c:showPercent val="0"/>
          <c:showBubbleSize val="0"/>
        </c:dLbls>
        <c:axId val="487275280"/>
        <c:axId val="487273320"/>
      </c:scatterChart>
      <c:valAx>
        <c:axId val="487275280"/>
        <c:scaling>
          <c:orientation val="minMax"/>
          <c:max val="1"/>
          <c:min val="-1"/>
        </c:scaling>
        <c:delete val="0"/>
        <c:axPos val="b"/>
        <c:numFmt formatCode="General" sourceLinked="1"/>
        <c:majorTickMark val="none"/>
        <c:minorTickMark val="none"/>
        <c:tickLblPos val="none"/>
        <c:spPr>
          <a:ln w="9525">
            <a:noFill/>
          </a:ln>
        </c:spPr>
        <c:crossAx val="487273320"/>
        <c:crossesAt val="0"/>
        <c:crossBetween val="midCat"/>
      </c:valAx>
      <c:valAx>
        <c:axId val="487273320"/>
        <c:scaling>
          <c:orientation val="minMax"/>
          <c:max val="1"/>
          <c:min val="-1"/>
        </c:scaling>
        <c:delete val="0"/>
        <c:axPos val="l"/>
        <c:numFmt formatCode="General" sourceLinked="1"/>
        <c:majorTickMark val="out"/>
        <c:minorTickMark val="none"/>
        <c:tickLblPos val="none"/>
        <c:spPr>
          <a:ln w="9525">
            <a:noFill/>
          </a:ln>
        </c:spPr>
        <c:crossAx val="487275280"/>
        <c:crossesAt val="0"/>
        <c:crossBetween val="midCat"/>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sz="1000" b="0" i="0" u="none" strike="noStrike" baseline="0">
          <a:solidFill>
            <a:srgbClr val="000000"/>
          </a:solidFill>
          <a:latin typeface="Calibri"/>
          <a:ea typeface="Calibri"/>
          <a:cs typeface="Calibri"/>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200" b="0" i="0" u="none" strike="noStrike" baseline="0">
                <a:solidFill>
                  <a:srgbClr val="333333"/>
                </a:solidFill>
                <a:latin typeface="Arial Narrow"/>
              </a:rPr>
              <a:t>Pagos </a:t>
            </a:r>
          </a:p>
          <a:p>
            <a:pPr>
              <a:defRPr sz="1000" b="0" i="0" u="none" strike="noStrike" baseline="0">
                <a:solidFill>
                  <a:srgbClr val="000000"/>
                </a:solidFill>
                <a:latin typeface="Calibri"/>
                <a:ea typeface="Calibri"/>
                <a:cs typeface="Calibri"/>
              </a:defRPr>
            </a:pPr>
            <a:r>
              <a:rPr lang="es-CO" sz="1200" b="0" i="0" u="none" strike="noStrike" baseline="0">
                <a:solidFill>
                  <a:srgbClr val="333333"/>
                </a:solidFill>
                <a:latin typeface="Arial Narrow"/>
              </a:rPr>
              <a:t>Administación Central</a:t>
            </a:r>
          </a:p>
          <a:p>
            <a:pPr>
              <a:defRPr sz="1000" b="0" i="0" u="none" strike="noStrike" baseline="0">
                <a:solidFill>
                  <a:srgbClr val="000000"/>
                </a:solidFill>
                <a:latin typeface="Calibri"/>
                <a:ea typeface="Calibri"/>
                <a:cs typeface="Calibri"/>
              </a:defRPr>
            </a:pPr>
            <a:r>
              <a:rPr lang="es-CO" sz="1200" b="0" i="0" u="none" strike="noStrike" baseline="0">
                <a:solidFill>
                  <a:srgbClr val="333333"/>
                </a:solidFill>
                <a:latin typeface="Arial Narrow"/>
              </a:rPr>
              <a:t>Enero-Marzo de 2024</a:t>
            </a:r>
          </a:p>
        </c:rich>
      </c:tx>
      <c:overlay val="0"/>
      <c:spPr>
        <a:noFill/>
        <a:ln w="25400">
          <a:noFill/>
        </a:ln>
      </c:spPr>
    </c:title>
    <c:autoTitleDeleted val="0"/>
    <c:plotArea>
      <c:layout>
        <c:manualLayout>
          <c:layoutTarget val="inner"/>
          <c:xMode val="edge"/>
          <c:yMode val="edge"/>
          <c:x val="0.29341331024721384"/>
          <c:y val="0.3273571011956839"/>
          <c:w val="0.493161836445837"/>
          <c:h val="0.64949475065616802"/>
        </c:manualLayout>
      </c:layout>
      <c:doughnutChart>
        <c:varyColors val="1"/>
        <c:ser>
          <c:idx val="0"/>
          <c:order val="0"/>
          <c:tx>
            <c:strRef>
              <c:f>'Marzo de 2024'!$B$19</c:f>
              <c:strCache>
                <c:ptCount val="1"/>
                <c:pt idx="0">
                  <c:v>Segmento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48AC-488D-B350-59DE1A8E4D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48AC-488D-B350-59DE1A8E4D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48AC-488D-B350-59DE1A8E4D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48AC-488D-B350-59DE1A8E4D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48AC-488D-B350-59DE1A8E4DAA}"/>
              </c:ext>
            </c:extLst>
          </c:dPt>
          <c:dPt>
            <c:idx val="5"/>
            <c:bubble3D val="0"/>
            <c:spPr>
              <a:noFill/>
              <a:ln w="19050">
                <a:solidFill>
                  <a:schemeClr val="lt1"/>
                </a:solidFill>
              </a:ln>
              <a:effectLst/>
            </c:spPr>
            <c:extLst>
              <c:ext xmlns:c16="http://schemas.microsoft.com/office/drawing/2014/chart" uri="{C3380CC4-5D6E-409C-BE32-E72D297353CC}">
                <c16:uniqueId val="{00000005-48AC-488D-B350-59DE1A8E4DAA}"/>
              </c:ext>
            </c:extLst>
          </c:dPt>
          <c:dLbls>
            <c:dLbl>
              <c:idx val="0"/>
              <c:layout>
                <c:manualLayout>
                  <c:x val="-7.6498055544104104E-2"/>
                  <c:y val="5.5555555555555552E-2"/>
                </c:manualLayout>
              </c:layout>
              <c:tx>
                <c:rich>
                  <a:bodyPr/>
                  <a:lstStyle/>
                  <a:p>
                    <a:pPr>
                      <a:defRPr sz="900" b="0" i="0" u="none" strike="noStrike" baseline="0">
                        <a:solidFill>
                          <a:srgbClr val="333333"/>
                        </a:solidFill>
                        <a:latin typeface="Calibri"/>
                        <a:ea typeface="Calibri"/>
                        <a:cs typeface="Calibri"/>
                      </a:defRPr>
                    </a:pPr>
                    <a:r>
                      <a:rPr lang="en-US"/>
                      <a:t>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8AC-488D-B350-59DE1A8E4DAA}"/>
                </c:ext>
              </c:extLst>
            </c:dLbl>
            <c:dLbl>
              <c:idx val="1"/>
              <c:layout>
                <c:manualLayout>
                  <c:x val="-0.12101523958719826"/>
                  <c:y val="0"/>
                </c:manualLayout>
              </c:layout>
              <c:tx>
                <c:rich>
                  <a:bodyPr/>
                  <a:lstStyle/>
                  <a:p>
                    <a:pPr>
                      <a:defRPr sz="900" b="0" i="0" u="none" strike="noStrike" baseline="0">
                        <a:solidFill>
                          <a:srgbClr val="333333"/>
                        </a:solidFill>
                        <a:latin typeface="Calibri"/>
                        <a:ea typeface="Calibri"/>
                        <a:cs typeface="Calibri"/>
                      </a:defRPr>
                    </a:pPr>
                    <a:r>
                      <a:rPr lang="en-US"/>
                      <a:t>20%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8AC-488D-B350-59DE1A8E4DAA}"/>
                </c:ext>
              </c:extLst>
            </c:dLbl>
            <c:dLbl>
              <c:idx val="2"/>
              <c:layout>
                <c:manualLayout>
                  <c:x val="-7.5785409022825032E-2"/>
                  <c:y val="-6.018518518518523E-2"/>
                </c:manualLayout>
              </c:layout>
              <c:tx>
                <c:rich>
                  <a:bodyPr/>
                  <a:lstStyle/>
                  <a:p>
                    <a:pPr>
                      <a:defRPr sz="900" b="0" i="0" u="none" strike="noStrike" baseline="0">
                        <a:solidFill>
                          <a:srgbClr val="333333"/>
                        </a:solidFill>
                        <a:latin typeface="Calibri"/>
                        <a:ea typeface="Calibri"/>
                        <a:cs typeface="Calibri"/>
                      </a:defRPr>
                    </a:pPr>
                    <a:r>
                      <a:rPr lang="en-US"/>
                      <a:t>40%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8AC-488D-B350-59DE1A8E4DAA}"/>
                </c:ext>
              </c:extLst>
            </c:dLbl>
            <c:dLbl>
              <c:idx val="3"/>
              <c:layout>
                <c:manualLayout>
                  <c:x val="-1.6666666666666767E-2"/>
                  <c:y val="-0.10185185185185185"/>
                </c:manualLayout>
              </c:layout>
              <c:tx>
                <c:rich>
                  <a:bodyPr/>
                  <a:lstStyle/>
                  <a:p>
                    <a:pPr>
                      <a:defRPr sz="900" b="0" i="0" u="none" strike="noStrike" baseline="0">
                        <a:solidFill>
                          <a:srgbClr val="333333"/>
                        </a:solidFill>
                        <a:latin typeface="Calibri"/>
                        <a:ea typeface="Calibri"/>
                        <a:cs typeface="Calibri"/>
                      </a:defRPr>
                    </a:pPr>
                    <a:r>
                      <a:rPr lang="en-US"/>
                      <a:t>60%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8AC-488D-B350-59DE1A8E4DAA}"/>
                </c:ext>
              </c:extLst>
            </c:dLbl>
            <c:dLbl>
              <c:idx val="4"/>
              <c:layout>
                <c:manualLayout>
                  <c:x val="2.7777777777777776E-2"/>
                  <c:y val="-0.10648148148148152"/>
                </c:manualLayout>
              </c:layout>
              <c:tx>
                <c:rich>
                  <a:bodyPr/>
                  <a:lstStyle/>
                  <a:p>
                    <a:pPr>
                      <a:defRPr sz="900" b="0" i="0" u="none" strike="noStrike" baseline="0">
                        <a:solidFill>
                          <a:srgbClr val="333333"/>
                        </a:solidFill>
                        <a:latin typeface="Calibri"/>
                        <a:ea typeface="Calibri"/>
                        <a:cs typeface="Calibri"/>
                      </a:defRPr>
                    </a:pPr>
                    <a:r>
                      <a:rPr lang="en-US"/>
                      <a:t>80%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8AC-488D-B350-59DE1A8E4DAA}"/>
                </c:ext>
              </c:extLst>
            </c:dLbl>
            <c:dLbl>
              <c:idx val="5"/>
              <c:layout>
                <c:manualLayout>
                  <c:x val="0.29559329952865826"/>
                  <c:y val="-0.29629629629629628"/>
                </c:manualLayout>
              </c:layout>
              <c:tx>
                <c:rich>
                  <a:bodyPr/>
                  <a:lstStyle/>
                  <a:p>
                    <a:pPr>
                      <a:defRPr sz="900" b="0" i="0" u="none" strike="noStrike" baseline="0">
                        <a:solidFill>
                          <a:srgbClr val="333333"/>
                        </a:solidFill>
                        <a:latin typeface="Calibri"/>
                        <a:ea typeface="Calibri"/>
                        <a:cs typeface="Calibri"/>
                      </a:defRPr>
                    </a:pPr>
                    <a:r>
                      <a:rPr lang="en-US"/>
                      <a:t>100%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8AC-488D-B350-59DE1A8E4DAA}"/>
                </c:ext>
              </c:extLst>
            </c:dLbl>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ES"/>
              </a:p>
            </c:txPr>
            <c:showLegendKey val="0"/>
            <c:showVal val="1"/>
            <c:showCatName val="0"/>
            <c:showSerName val="1"/>
            <c:showPercent val="0"/>
            <c:showBubbleSize val="0"/>
            <c:showLeaderLines val="0"/>
            <c:extLst>
              <c:ext xmlns:c15="http://schemas.microsoft.com/office/drawing/2012/chart" uri="{CE6537A1-D6FC-4f65-9D91-7224C49458BB}"/>
            </c:extLst>
          </c:dLbls>
          <c:cat>
            <c:numRef>
              <c:f>'Marzo de 2024'!$A$20:$A$25</c:f>
              <c:numCache>
                <c:formatCode>0.00%</c:formatCode>
                <c:ptCount val="6"/>
                <c:pt idx="0">
                  <c:v>0</c:v>
                </c:pt>
                <c:pt idx="1">
                  <c:v>0.2</c:v>
                </c:pt>
                <c:pt idx="2">
                  <c:v>0.4</c:v>
                </c:pt>
                <c:pt idx="3">
                  <c:v>0.6</c:v>
                </c:pt>
                <c:pt idx="4">
                  <c:v>0.8</c:v>
                </c:pt>
                <c:pt idx="5">
                  <c:v>1</c:v>
                </c:pt>
              </c:numCache>
            </c:numRef>
          </c:cat>
          <c:val>
            <c:numRef>
              <c:f>'Marzo de 2024'!$B$20:$B$25</c:f>
              <c:numCache>
                <c:formatCode>General</c:formatCode>
                <c:ptCount val="6"/>
                <c:pt idx="0">
                  <c:v>0.2</c:v>
                </c:pt>
                <c:pt idx="1">
                  <c:v>0.2</c:v>
                </c:pt>
                <c:pt idx="2">
                  <c:v>0.2</c:v>
                </c:pt>
                <c:pt idx="3">
                  <c:v>0.2</c:v>
                </c:pt>
                <c:pt idx="4">
                  <c:v>0.2</c:v>
                </c:pt>
                <c:pt idx="5">
                  <c:v>1</c:v>
                </c:pt>
              </c:numCache>
            </c:numRef>
          </c:val>
          <c:extLst>
            <c:ext xmlns:c16="http://schemas.microsoft.com/office/drawing/2014/chart" uri="{C3380CC4-5D6E-409C-BE32-E72D297353CC}">
              <c16:uniqueId val="{00000006-48AC-488D-B350-59DE1A8E4DAA}"/>
            </c:ext>
          </c:extLst>
        </c:ser>
        <c:dLbls>
          <c:showLegendKey val="0"/>
          <c:showVal val="0"/>
          <c:showCatName val="0"/>
          <c:showSerName val="0"/>
          <c:showPercent val="0"/>
          <c:showBubbleSize val="0"/>
          <c:showLeaderLines val="0"/>
        </c:dLbls>
        <c:firstSliceAng val="270"/>
        <c:holeSize val="74"/>
      </c:doughnutChart>
      <c:scatterChart>
        <c:scatterStyle val="lineMarker"/>
        <c:varyColors val="0"/>
        <c:ser>
          <c:idx val="1"/>
          <c:order val="1"/>
          <c:tx>
            <c:strRef>
              <c:f>'Marzo de 2024'!$A$44</c:f>
              <c:strCache>
                <c:ptCount val="1"/>
                <c:pt idx="0">
                  <c:v>Grados2</c:v>
                </c:pt>
              </c:strCache>
            </c:strRef>
          </c:tx>
          <c:spPr>
            <a:ln w="38100" cap="rnd">
              <a:solidFill>
                <a:schemeClr val="accent6">
                  <a:lumMod val="75000"/>
                </a:schemeClr>
              </a:solidFill>
              <a:round/>
            </a:ln>
            <a:effectLst/>
          </c:spPr>
          <c:marker>
            <c:symbol val="circle"/>
            <c:size val="5"/>
            <c:spPr>
              <a:noFill/>
              <a:ln w="9525">
                <a:solidFill>
                  <a:schemeClr val="accent2"/>
                </a:solidFill>
              </a:ln>
              <a:effectLst/>
            </c:spPr>
          </c:marker>
          <c:xVal>
            <c:numRef>
              <c:f>'Marzo de 2024'!$B$47:$B$48</c:f>
              <c:numCache>
                <c:formatCode>0.0000</c:formatCode>
                <c:ptCount val="2"/>
                <c:pt idx="0" formatCode="General">
                  <c:v>0</c:v>
                </c:pt>
                <c:pt idx="1">
                  <c:v>-0.26103910837726257</c:v>
                </c:pt>
              </c:numCache>
            </c:numRef>
          </c:xVal>
          <c:yVal>
            <c:numRef>
              <c:f>'Marzo de 2024'!$C$47:$C$48</c:f>
              <c:numCache>
                <c:formatCode>0.0000</c:formatCode>
                <c:ptCount val="2"/>
                <c:pt idx="0" formatCode="General">
                  <c:v>0</c:v>
                </c:pt>
                <c:pt idx="1">
                  <c:v>0.96532822599238433</c:v>
                </c:pt>
              </c:numCache>
            </c:numRef>
          </c:yVal>
          <c:smooth val="0"/>
          <c:extLst>
            <c:ext xmlns:c16="http://schemas.microsoft.com/office/drawing/2014/chart" uri="{C3380CC4-5D6E-409C-BE32-E72D297353CC}">
              <c16:uniqueId val="{00000007-48AC-488D-B350-59DE1A8E4DAA}"/>
            </c:ext>
          </c:extLst>
        </c:ser>
        <c:dLbls>
          <c:showLegendKey val="0"/>
          <c:showVal val="0"/>
          <c:showCatName val="0"/>
          <c:showSerName val="0"/>
          <c:showPercent val="0"/>
          <c:showBubbleSize val="0"/>
        </c:dLbls>
        <c:axId val="487277240"/>
        <c:axId val="487277632"/>
      </c:scatterChart>
      <c:valAx>
        <c:axId val="487277240"/>
        <c:scaling>
          <c:orientation val="minMax"/>
          <c:max val="1"/>
          <c:min val="-1"/>
        </c:scaling>
        <c:delete val="0"/>
        <c:axPos val="b"/>
        <c:numFmt formatCode="General" sourceLinked="1"/>
        <c:majorTickMark val="none"/>
        <c:minorTickMark val="none"/>
        <c:tickLblPos val="none"/>
        <c:spPr>
          <a:ln w="9525">
            <a:noFill/>
          </a:ln>
        </c:spPr>
        <c:crossAx val="487277632"/>
        <c:crossesAt val="0"/>
        <c:crossBetween val="midCat"/>
      </c:valAx>
      <c:valAx>
        <c:axId val="487277632"/>
        <c:scaling>
          <c:orientation val="minMax"/>
          <c:max val="1"/>
          <c:min val="-1"/>
        </c:scaling>
        <c:delete val="0"/>
        <c:axPos val="l"/>
        <c:numFmt formatCode="General" sourceLinked="1"/>
        <c:majorTickMark val="out"/>
        <c:minorTickMark val="none"/>
        <c:tickLblPos val="none"/>
        <c:spPr>
          <a:ln w="9525">
            <a:noFill/>
          </a:ln>
        </c:spPr>
        <c:crossAx val="487277240"/>
        <c:crossesAt val="0"/>
        <c:crossBetween val="midCat"/>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sz="1000" b="0" i="0" u="none" strike="noStrike" baseline="0">
          <a:solidFill>
            <a:srgbClr val="000000"/>
          </a:solidFill>
          <a:latin typeface="Calibri"/>
          <a:ea typeface="Calibri"/>
          <a:cs typeface="Calibri"/>
        </a:defRPr>
      </a:pPr>
      <a:endParaRPr lang="es-E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200" b="0" i="0" u="none" strike="noStrike" baseline="0">
                <a:solidFill>
                  <a:srgbClr val="333333"/>
                </a:solidFill>
                <a:latin typeface="Arial Narrow"/>
              </a:rPr>
              <a:t>Ejecución física </a:t>
            </a:r>
          </a:p>
          <a:p>
            <a:pPr>
              <a:defRPr sz="1000" b="0" i="0" u="none" strike="noStrike" baseline="0">
                <a:solidFill>
                  <a:srgbClr val="000000"/>
                </a:solidFill>
                <a:latin typeface="Calibri"/>
                <a:ea typeface="Calibri"/>
                <a:cs typeface="Calibri"/>
              </a:defRPr>
            </a:pPr>
            <a:r>
              <a:rPr lang="es-CO" sz="1200" b="0" i="0" u="none" strike="noStrike" baseline="0">
                <a:solidFill>
                  <a:srgbClr val="333333"/>
                </a:solidFill>
                <a:latin typeface="Arial Narrow"/>
              </a:rPr>
              <a:t>Administación Central</a:t>
            </a:r>
          </a:p>
          <a:p>
            <a:pPr>
              <a:defRPr sz="1000" b="0" i="0" u="none" strike="noStrike" baseline="0">
                <a:solidFill>
                  <a:srgbClr val="000000"/>
                </a:solidFill>
                <a:latin typeface="Calibri"/>
                <a:ea typeface="Calibri"/>
                <a:cs typeface="Calibri"/>
              </a:defRPr>
            </a:pPr>
            <a:r>
              <a:rPr lang="es-CO" sz="1200" b="0" i="0" u="none" strike="noStrike" baseline="0">
                <a:solidFill>
                  <a:srgbClr val="333333"/>
                </a:solidFill>
                <a:latin typeface="Arial Narrow"/>
              </a:rPr>
              <a:t>Enero-Marzo de 2024</a:t>
            </a:r>
          </a:p>
        </c:rich>
      </c:tx>
      <c:overlay val="0"/>
      <c:spPr>
        <a:noFill/>
        <a:ln w="25400">
          <a:noFill/>
        </a:ln>
      </c:spPr>
    </c:title>
    <c:autoTitleDeleted val="0"/>
    <c:plotArea>
      <c:layout>
        <c:manualLayout>
          <c:layoutTarget val="inner"/>
          <c:xMode val="edge"/>
          <c:yMode val="edge"/>
          <c:x val="0.2698078289811629"/>
          <c:y val="0.31003645377661132"/>
          <c:w val="0.49449212950257893"/>
          <c:h val="0.64043598716827066"/>
        </c:manualLayout>
      </c:layout>
      <c:doughnutChart>
        <c:varyColors val="1"/>
        <c:ser>
          <c:idx val="0"/>
          <c:order val="0"/>
          <c:tx>
            <c:strRef>
              <c:f>'Marzo de 2024'!$B$19</c:f>
              <c:strCache>
                <c:ptCount val="1"/>
                <c:pt idx="0">
                  <c:v>Segmento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AFDE-4377-A95C-0A6D604F7D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AFDE-4377-A95C-0A6D604F7D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AFDE-4377-A95C-0A6D604F7D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AFDE-4377-A95C-0A6D604F7D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AFDE-4377-A95C-0A6D604F7D22}"/>
              </c:ext>
            </c:extLst>
          </c:dPt>
          <c:dPt>
            <c:idx val="5"/>
            <c:bubble3D val="0"/>
            <c:spPr>
              <a:noFill/>
              <a:ln w="19050">
                <a:solidFill>
                  <a:schemeClr val="lt1"/>
                </a:solidFill>
              </a:ln>
              <a:effectLst/>
            </c:spPr>
            <c:extLst>
              <c:ext xmlns:c16="http://schemas.microsoft.com/office/drawing/2014/chart" uri="{C3380CC4-5D6E-409C-BE32-E72D297353CC}">
                <c16:uniqueId val="{00000005-AFDE-4377-A95C-0A6D604F7D22}"/>
              </c:ext>
            </c:extLst>
          </c:dPt>
          <c:dLbls>
            <c:dLbl>
              <c:idx val="0"/>
              <c:layout>
                <c:manualLayout>
                  <c:x val="-8.0577850020758124E-2"/>
                  <c:y val="6.9444444444444448E-2"/>
                </c:manualLayout>
              </c:layout>
              <c:tx>
                <c:rich>
                  <a:bodyPr/>
                  <a:lstStyle/>
                  <a:p>
                    <a:pPr>
                      <a:defRPr sz="900" b="0" i="0" u="none" strike="noStrike" baseline="0">
                        <a:solidFill>
                          <a:srgbClr val="333333"/>
                        </a:solidFill>
                        <a:latin typeface="Calibri"/>
                        <a:ea typeface="Calibri"/>
                        <a:cs typeface="Calibri"/>
                      </a:defRPr>
                    </a:pPr>
                    <a:r>
                      <a:rPr lang="en-US"/>
                      <a:t>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FDE-4377-A95C-0A6D604F7D22}"/>
                </c:ext>
              </c:extLst>
            </c:dLbl>
            <c:dLbl>
              <c:idx val="1"/>
              <c:layout>
                <c:manualLayout>
                  <c:x val="-0.11828277497484396"/>
                  <c:y val="4.6296296296296294E-3"/>
                </c:manualLayout>
              </c:layout>
              <c:tx>
                <c:rich>
                  <a:bodyPr/>
                  <a:lstStyle/>
                  <a:p>
                    <a:pPr>
                      <a:defRPr sz="900" b="0" i="0" u="none" strike="noStrike" baseline="0">
                        <a:solidFill>
                          <a:srgbClr val="333333"/>
                        </a:solidFill>
                        <a:latin typeface="Calibri"/>
                        <a:ea typeface="Calibri"/>
                        <a:cs typeface="Calibri"/>
                      </a:defRPr>
                    </a:pPr>
                    <a:r>
                      <a:rPr lang="en-US"/>
                      <a:t>20%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FDE-4377-A95C-0A6D604F7D22}"/>
                </c:ext>
              </c:extLst>
            </c:dLbl>
            <c:dLbl>
              <c:idx val="2"/>
              <c:layout>
                <c:manualLayout>
                  <c:x val="-9.050487991950068E-2"/>
                  <c:y val="-6.4814814814814853E-2"/>
                </c:manualLayout>
              </c:layout>
              <c:tx>
                <c:rich>
                  <a:bodyPr/>
                  <a:lstStyle/>
                  <a:p>
                    <a:pPr>
                      <a:defRPr sz="900" b="0" i="0" u="none" strike="noStrike" baseline="0">
                        <a:solidFill>
                          <a:srgbClr val="333333"/>
                        </a:solidFill>
                        <a:latin typeface="Calibri"/>
                        <a:ea typeface="Calibri"/>
                        <a:cs typeface="Calibri"/>
                      </a:defRPr>
                    </a:pPr>
                    <a:r>
                      <a:rPr lang="en-US"/>
                      <a:t>40%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FDE-4377-A95C-0A6D604F7D22}"/>
                </c:ext>
              </c:extLst>
            </c:dLbl>
            <c:dLbl>
              <c:idx val="3"/>
              <c:layout>
                <c:manualLayout>
                  <c:x val="-2.3815977426414257E-2"/>
                  <c:y val="-0.11574074074074074"/>
                </c:manualLayout>
              </c:layout>
              <c:tx>
                <c:rich>
                  <a:bodyPr/>
                  <a:lstStyle/>
                  <a:p>
                    <a:pPr>
                      <a:defRPr sz="900" b="0" i="0" u="none" strike="noStrike" baseline="0">
                        <a:solidFill>
                          <a:srgbClr val="333333"/>
                        </a:solidFill>
                        <a:latin typeface="Calibri"/>
                        <a:ea typeface="Calibri"/>
                        <a:cs typeface="Calibri"/>
                      </a:defRPr>
                    </a:pPr>
                    <a:r>
                      <a:rPr lang="en-US"/>
                      <a:t>60%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FDE-4377-A95C-0A6D604F7D22}"/>
                </c:ext>
              </c:extLst>
            </c:dLbl>
            <c:dLbl>
              <c:idx val="4"/>
              <c:layout>
                <c:manualLayout>
                  <c:x val="3.1352515251947391E-2"/>
                  <c:y val="-0.1342592592592593"/>
                </c:manualLayout>
              </c:layout>
              <c:tx>
                <c:rich>
                  <a:bodyPr/>
                  <a:lstStyle/>
                  <a:p>
                    <a:pPr>
                      <a:defRPr sz="900" b="0" i="0" u="none" strike="noStrike" baseline="0">
                        <a:solidFill>
                          <a:srgbClr val="333333"/>
                        </a:solidFill>
                        <a:latin typeface="Calibri"/>
                        <a:ea typeface="Calibri"/>
                        <a:cs typeface="Calibri"/>
                      </a:defRPr>
                    </a:pPr>
                    <a:r>
                      <a:rPr lang="en-US"/>
                      <a:t>80%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FDE-4377-A95C-0A6D604F7D22}"/>
                </c:ext>
              </c:extLst>
            </c:dLbl>
            <c:dLbl>
              <c:idx val="5"/>
              <c:layout>
                <c:manualLayout>
                  <c:x val="0.29054963303849751"/>
                  <c:y val="-0.28240740740740738"/>
                </c:manualLayout>
              </c:layout>
              <c:tx>
                <c:rich>
                  <a:bodyPr/>
                  <a:lstStyle/>
                  <a:p>
                    <a:pPr>
                      <a:defRPr sz="900" b="0" i="0" u="none" strike="noStrike" baseline="0">
                        <a:solidFill>
                          <a:srgbClr val="333333"/>
                        </a:solidFill>
                        <a:latin typeface="Calibri"/>
                        <a:ea typeface="Calibri"/>
                        <a:cs typeface="Calibri"/>
                      </a:defRPr>
                    </a:pPr>
                    <a:r>
                      <a:rPr lang="en-US"/>
                      <a:t>100%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FDE-4377-A95C-0A6D604F7D22}"/>
                </c:ext>
              </c:extLst>
            </c:dLbl>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ES"/>
              </a:p>
            </c:txPr>
            <c:showLegendKey val="0"/>
            <c:showVal val="1"/>
            <c:showCatName val="0"/>
            <c:showSerName val="1"/>
            <c:showPercent val="0"/>
            <c:showBubbleSize val="0"/>
            <c:showLeaderLines val="0"/>
            <c:extLst>
              <c:ext xmlns:c15="http://schemas.microsoft.com/office/drawing/2012/chart" uri="{CE6537A1-D6FC-4f65-9D91-7224C49458BB}"/>
            </c:extLst>
          </c:dLbls>
          <c:cat>
            <c:numRef>
              <c:f>'Marzo de 2024'!$A$20:$A$25</c:f>
              <c:numCache>
                <c:formatCode>0.00%</c:formatCode>
                <c:ptCount val="6"/>
                <c:pt idx="0">
                  <c:v>0</c:v>
                </c:pt>
                <c:pt idx="1">
                  <c:v>0.2</c:v>
                </c:pt>
                <c:pt idx="2">
                  <c:v>0.4</c:v>
                </c:pt>
                <c:pt idx="3">
                  <c:v>0.6</c:v>
                </c:pt>
                <c:pt idx="4">
                  <c:v>0.8</c:v>
                </c:pt>
                <c:pt idx="5">
                  <c:v>1</c:v>
                </c:pt>
              </c:numCache>
            </c:numRef>
          </c:cat>
          <c:val>
            <c:numRef>
              <c:f>'Marzo de 2024'!$B$20:$B$25</c:f>
              <c:numCache>
                <c:formatCode>General</c:formatCode>
                <c:ptCount val="6"/>
                <c:pt idx="0">
                  <c:v>0.2</c:v>
                </c:pt>
                <c:pt idx="1">
                  <c:v>0.2</c:v>
                </c:pt>
                <c:pt idx="2">
                  <c:v>0.2</c:v>
                </c:pt>
                <c:pt idx="3">
                  <c:v>0.2</c:v>
                </c:pt>
                <c:pt idx="4">
                  <c:v>0.2</c:v>
                </c:pt>
                <c:pt idx="5">
                  <c:v>1</c:v>
                </c:pt>
              </c:numCache>
            </c:numRef>
          </c:val>
          <c:extLst>
            <c:ext xmlns:c16="http://schemas.microsoft.com/office/drawing/2014/chart" uri="{C3380CC4-5D6E-409C-BE32-E72D297353CC}">
              <c16:uniqueId val="{00000006-AFDE-4377-A95C-0A6D604F7D22}"/>
            </c:ext>
          </c:extLst>
        </c:ser>
        <c:dLbls>
          <c:showLegendKey val="0"/>
          <c:showVal val="0"/>
          <c:showCatName val="0"/>
          <c:showSerName val="0"/>
          <c:showPercent val="0"/>
          <c:showBubbleSize val="0"/>
          <c:showLeaderLines val="0"/>
        </c:dLbls>
        <c:firstSliceAng val="270"/>
        <c:holeSize val="74"/>
      </c:doughnutChart>
      <c:scatterChart>
        <c:scatterStyle val="lineMarker"/>
        <c:varyColors val="0"/>
        <c:ser>
          <c:idx val="1"/>
          <c:order val="1"/>
          <c:tx>
            <c:strRef>
              <c:f>'Marzo de 2024'!$G$32</c:f>
              <c:strCache>
                <c:ptCount val="1"/>
                <c:pt idx="0">
                  <c:v>#¡REF!</c:v>
                </c:pt>
              </c:strCache>
            </c:strRef>
          </c:tx>
          <c:spPr>
            <a:ln w="38100" cap="rnd">
              <a:solidFill>
                <a:schemeClr val="accent6">
                  <a:lumMod val="75000"/>
                </a:schemeClr>
              </a:solidFill>
              <a:round/>
            </a:ln>
            <a:effectLst/>
          </c:spPr>
          <c:marker>
            <c:symbol val="circle"/>
            <c:size val="5"/>
            <c:spPr>
              <a:noFill/>
              <a:ln w="9525">
                <a:solidFill>
                  <a:schemeClr val="accent2"/>
                </a:solidFill>
              </a:ln>
              <a:effectLst/>
            </c:spPr>
          </c:marker>
          <c:xVal>
            <c:numRef>
              <c:f>'Marzo de 2024'!$G$35:$G$36</c:f>
              <c:numCache>
                <c:formatCode>0.0000</c:formatCode>
                <c:ptCount val="2"/>
                <c:pt idx="0" formatCode="General">
                  <c:v>0</c:v>
                </c:pt>
                <c:pt idx="1">
                  <c:v>0</c:v>
                </c:pt>
              </c:numCache>
            </c:numRef>
          </c:xVal>
          <c:yVal>
            <c:numRef>
              <c:f>'Marzo de 2024'!$H$35:$H$36</c:f>
              <c:numCache>
                <c:formatCode>0.0000</c:formatCode>
                <c:ptCount val="2"/>
                <c:pt idx="0" formatCode="General">
                  <c:v>0</c:v>
                </c:pt>
                <c:pt idx="1">
                  <c:v>0</c:v>
                </c:pt>
              </c:numCache>
            </c:numRef>
          </c:yVal>
          <c:smooth val="0"/>
          <c:extLst>
            <c:ext xmlns:c16="http://schemas.microsoft.com/office/drawing/2014/chart" uri="{C3380CC4-5D6E-409C-BE32-E72D297353CC}">
              <c16:uniqueId val="{00000007-AFDE-4377-A95C-0A6D604F7D22}"/>
            </c:ext>
          </c:extLst>
        </c:ser>
        <c:dLbls>
          <c:showLegendKey val="0"/>
          <c:showVal val="0"/>
          <c:showCatName val="0"/>
          <c:showSerName val="0"/>
          <c:showPercent val="0"/>
          <c:showBubbleSize val="0"/>
        </c:dLbls>
        <c:axId val="487275672"/>
        <c:axId val="487276848"/>
      </c:scatterChart>
      <c:valAx>
        <c:axId val="487275672"/>
        <c:scaling>
          <c:orientation val="minMax"/>
          <c:max val="1"/>
          <c:min val="-1"/>
        </c:scaling>
        <c:delete val="0"/>
        <c:axPos val="b"/>
        <c:numFmt formatCode="General" sourceLinked="1"/>
        <c:majorTickMark val="none"/>
        <c:minorTickMark val="none"/>
        <c:tickLblPos val="none"/>
        <c:spPr>
          <a:ln w="9525">
            <a:noFill/>
          </a:ln>
        </c:spPr>
        <c:crossAx val="487276848"/>
        <c:crossesAt val="0"/>
        <c:crossBetween val="midCat"/>
      </c:valAx>
      <c:valAx>
        <c:axId val="487276848"/>
        <c:scaling>
          <c:orientation val="minMax"/>
          <c:max val="1"/>
          <c:min val="-1"/>
        </c:scaling>
        <c:delete val="0"/>
        <c:axPos val="l"/>
        <c:numFmt formatCode="General" sourceLinked="1"/>
        <c:majorTickMark val="out"/>
        <c:minorTickMark val="none"/>
        <c:tickLblPos val="none"/>
        <c:spPr>
          <a:ln w="9525">
            <a:noFill/>
          </a:ln>
        </c:spPr>
        <c:crossAx val="487275672"/>
        <c:crossesAt val="0"/>
        <c:crossBetween val="midCat"/>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sz="1000" b="0" i="0" u="none" strike="noStrike" baseline="0">
          <a:solidFill>
            <a:srgbClr val="000000"/>
          </a:solidFill>
          <a:latin typeface="Calibri"/>
          <a:ea typeface="Calibri"/>
          <a:cs typeface="Calibri"/>
        </a:defRPr>
      </a:pPr>
      <a:endParaRPr lang="es-E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200" b="0" i="0" u="none" strike="noStrike" baseline="0">
                <a:solidFill>
                  <a:srgbClr val="333333"/>
                </a:solidFill>
                <a:latin typeface="Arial Narrow"/>
              </a:rPr>
              <a:t>% Ejecución física de los proyectos, por organismo</a:t>
            </a:r>
          </a:p>
          <a:p>
            <a:pPr>
              <a:defRPr sz="1000" b="0" i="0" u="none" strike="noStrike" baseline="0">
                <a:solidFill>
                  <a:srgbClr val="000000"/>
                </a:solidFill>
                <a:latin typeface="Calibri"/>
                <a:ea typeface="Calibri"/>
                <a:cs typeface="Calibri"/>
              </a:defRPr>
            </a:pPr>
            <a:r>
              <a:rPr lang="es-CO" sz="1200" b="0" i="0" u="none" strike="noStrike" baseline="0">
                <a:solidFill>
                  <a:srgbClr val="333333"/>
                </a:solidFill>
                <a:latin typeface="Arial Narrow"/>
              </a:rPr>
              <a:t>Enero-Marzo de 2024</a:t>
            </a:r>
          </a:p>
        </c:rich>
      </c:tx>
      <c:layout>
        <c:manualLayout>
          <c:xMode val="edge"/>
          <c:yMode val="edge"/>
          <c:x val="0.16144237877637696"/>
          <c:y val="2.7778166865101202E-2"/>
        </c:manualLayout>
      </c:layout>
      <c:overlay val="0"/>
      <c:spPr>
        <a:noFill/>
        <a:ln w="25400">
          <a:noFill/>
        </a:ln>
      </c:spPr>
    </c:title>
    <c:autoTitleDeleted val="0"/>
    <c:plotArea>
      <c:layout/>
      <c:barChart>
        <c:barDir val="bar"/>
        <c:grouping val="clustered"/>
        <c:varyColors val="0"/>
        <c:ser>
          <c:idx val="0"/>
          <c:order val="0"/>
          <c:spPr>
            <a:solidFill>
              <a:srgbClr val="4F81BD"/>
            </a:solidFill>
            <a:ln w="25400">
              <a:noFill/>
            </a:ln>
          </c:spPr>
          <c:invertIfNegative val="0"/>
          <c:dLbls>
            <c:spPr>
              <a:noFill/>
              <a:ln w="25400">
                <a:noFill/>
              </a:ln>
            </c:spPr>
            <c:txPr>
              <a:bodyPr wrap="square" lIns="38100" tIns="19050" rIns="38100" bIns="19050" anchor="ctr">
                <a:spAutoFit/>
              </a:bodyPr>
              <a:lstStyle/>
              <a:p>
                <a:pPr>
                  <a:defRPr sz="700" b="0" i="0" u="none" strike="noStrike" baseline="0">
                    <a:solidFill>
                      <a:srgbClr val="333333"/>
                    </a:solidFill>
                    <a:latin typeface="Arial Narrow"/>
                    <a:ea typeface="Arial Narrow"/>
                    <a:cs typeface="Arial Narrow"/>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'Marzo de 2024'!$B$10:$B$10</c:f>
              <c:strCache>
                <c:ptCount val="1"/>
                <c:pt idx="0">
                  <c:v>Departamento Administrativo de Planeacion</c:v>
                </c:pt>
              </c:strCache>
            </c:strRef>
          </c:cat>
          <c:val>
            <c:numRef>
              <c:f>'Marzo de 2024'!$E$10:$E$10</c:f>
              <c:numCache>
                <c:formatCode>0.0%</c:formatCode>
                <c:ptCount val="1"/>
                <c:pt idx="0">
                  <c:v>7.3217241379310349E-2</c:v>
                </c:pt>
              </c:numCache>
            </c:numRef>
          </c:val>
          <c:extLst>
            <c:ext xmlns:c16="http://schemas.microsoft.com/office/drawing/2014/chart" uri="{C3380CC4-5D6E-409C-BE32-E72D297353CC}">
              <c16:uniqueId val="{00000000-7841-4534-AA9C-461E524271EF}"/>
            </c:ext>
          </c:extLst>
        </c:ser>
        <c:dLbls>
          <c:showLegendKey val="0"/>
          <c:showVal val="0"/>
          <c:showCatName val="0"/>
          <c:showSerName val="0"/>
          <c:showPercent val="0"/>
          <c:showBubbleSize val="0"/>
        </c:dLbls>
        <c:gapWidth val="182"/>
        <c:axId val="965482552"/>
        <c:axId val="965471968"/>
      </c:barChart>
      <c:catAx>
        <c:axId val="965482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600" b="0" i="0" u="none" strike="noStrike" baseline="0">
                <a:solidFill>
                  <a:srgbClr val="333333"/>
                </a:solidFill>
                <a:latin typeface="Arial Narrow"/>
                <a:ea typeface="Arial Narrow"/>
                <a:cs typeface="Arial Narrow"/>
              </a:defRPr>
            </a:pPr>
            <a:endParaRPr lang="es-ES"/>
          </a:p>
        </c:txPr>
        <c:crossAx val="965471968"/>
        <c:crosses val="autoZero"/>
        <c:auto val="1"/>
        <c:lblAlgn val="ctr"/>
        <c:lblOffset val="100"/>
        <c:tickLblSkip val="1"/>
        <c:noMultiLvlLbl val="0"/>
      </c:catAx>
      <c:valAx>
        <c:axId val="96547196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800" b="0" i="0" u="none" strike="noStrike" baseline="0">
                <a:solidFill>
                  <a:srgbClr val="333333"/>
                </a:solidFill>
                <a:latin typeface="Arial Narrow"/>
                <a:ea typeface="Arial Narrow"/>
                <a:cs typeface="Arial Narrow"/>
              </a:defRPr>
            </a:pPr>
            <a:endParaRPr lang="es-ES"/>
          </a:p>
        </c:txPr>
        <c:crossAx val="965482552"/>
        <c:crosses val="autoZero"/>
        <c:crossBetween val="between"/>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sz="1000" b="0" i="0" u="none" strike="noStrike" baseline="0">
          <a:solidFill>
            <a:srgbClr val="000000"/>
          </a:solidFill>
          <a:latin typeface="Calibri"/>
          <a:ea typeface="Calibri"/>
          <a:cs typeface="Calibri"/>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000000"/>
                </a:solidFill>
                <a:latin typeface="Calibri"/>
                <a:cs typeface="Calibri"/>
              </a:rPr>
              <a:t>Ejecución física y ejecución presupuestal de los proyectos</a:t>
            </a:r>
          </a:p>
          <a:p>
            <a:pPr>
              <a:defRPr sz="1000" b="0" i="0" u="none" strike="noStrike" baseline="0">
                <a:solidFill>
                  <a:srgbClr val="000000"/>
                </a:solidFill>
                <a:latin typeface="Calibri"/>
                <a:ea typeface="Calibri"/>
                <a:cs typeface="Calibri"/>
              </a:defRPr>
            </a:pPr>
            <a:r>
              <a:rPr lang="es-CO" sz="1400" b="1" i="0" u="none" strike="noStrike" baseline="0">
                <a:solidFill>
                  <a:srgbClr val="000000"/>
                </a:solidFill>
                <a:latin typeface="Calibri"/>
                <a:cs typeface="Calibri"/>
              </a:rPr>
              <a:t>Enero - Marzo de 2024</a:t>
            </a:r>
          </a:p>
        </c:rich>
      </c:tx>
      <c:overlay val="0"/>
    </c:title>
    <c:autoTitleDeleted val="0"/>
    <c:plotArea>
      <c:layout>
        <c:manualLayout>
          <c:layoutTarget val="inner"/>
          <c:xMode val="edge"/>
          <c:yMode val="edge"/>
          <c:x val="8.7583987381221931E-2"/>
          <c:y val="0.14167571114421509"/>
          <c:w val="0.88475883971692548"/>
          <c:h val="0.4724859899269348"/>
        </c:manualLayout>
      </c:layout>
      <c:barChart>
        <c:barDir val="col"/>
        <c:grouping val="clustered"/>
        <c:varyColors val="0"/>
        <c:ser>
          <c:idx val="0"/>
          <c:order val="0"/>
          <c:tx>
            <c:v>Ejecución física</c:v>
          </c:tx>
          <c:invertIfNegative val="0"/>
          <c:cat>
            <c:strRef>
              <c:f>'Marzo de 2024'!$B$10:$B$10</c:f>
              <c:strCache>
                <c:ptCount val="1"/>
                <c:pt idx="0">
                  <c:v>Departamento Administrativo de Planeacion</c:v>
                </c:pt>
              </c:strCache>
            </c:strRef>
          </c:cat>
          <c:val>
            <c:numRef>
              <c:f>'Marzo de 2024'!$E$10:$E$10</c:f>
              <c:numCache>
                <c:formatCode>0.0%</c:formatCode>
                <c:ptCount val="1"/>
                <c:pt idx="0">
                  <c:v>7.3217241379310349E-2</c:v>
                </c:pt>
              </c:numCache>
            </c:numRef>
          </c:val>
          <c:extLst>
            <c:ext xmlns:c16="http://schemas.microsoft.com/office/drawing/2014/chart" uri="{C3380CC4-5D6E-409C-BE32-E72D297353CC}">
              <c16:uniqueId val="{00000000-414C-4B71-BE22-D351D8206078}"/>
            </c:ext>
          </c:extLst>
        </c:ser>
        <c:ser>
          <c:idx val="1"/>
          <c:order val="1"/>
          <c:tx>
            <c:v>Ejecución presupuestal</c:v>
          </c:tx>
          <c:invertIfNegative val="0"/>
          <c:cat>
            <c:strRef>
              <c:f>'Marzo de 2024'!$B$10:$B$10</c:f>
              <c:strCache>
                <c:ptCount val="1"/>
                <c:pt idx="0">
                  <c:v>Departamento Administrativo de Planeacion</c:v>
                </c:pt>
              </c:strCache>
            </c:strRef>
          </c:cat>
          <c:val>
            <c:numRef>
              <c:f>'Marzo de 2024'!$J$10:$J$10</c:f>
              <c:numCache>
                <c:formatCode>0.0%</c:formatCode>
                <c:ptCount val="1"/>
                <c:pt idx="0">
                  <c:v>0.17589732374532099</c:v>
                </c:pt>
              </c:numCache>
            </c:numRef>
          </c:val>
          <c:extLst>
            <c:ext xmlns:c16="http://schemas.microsoft.com/office/drawing/2014/chart" uri="{C3380CC4-5D6E-409C-BE32-E72D297353CC}">
              <c16:uniqueId val="{00000001-414C-4B71-BE22-D351D8206078}"/>
            </c:ext>
          </c:extLst>
        </c:ser>
        <c:dLbls>
          <c:showLegendKey val="0"/>
          <c:showVal val="0"/>
          <c:showCatName val="0"/>
          <c:showSerName val="0"/>
          <c:showPercent val="0"/>
          <c:showBubbleSize val="0"/>
        </c:dLbls>
        <c:gapWidth val="150"/>
        <c:axId val="965473536"/>
        <c:axId val="965476672"/>
      </c:barChart>
      <c:catAx>
        <c:axId val="965473536"/>
        <c:scaling>
          <c:orientation val="minMax"/>
        </c:scaling>
        <c:delete val="0"/>
        <c:axPos val="b"/>
        <c:numFmt formatCode="General" sourceLinked="1"/>
        <c:majorTickMark val="none"/>
        <c:minorTickMark val="none"/>
        <c:tickLblPos val="nextTo"/>
        <c:txPr>
          <a:bodyPr rot="-2700000" vert="horz"/>
          <a:lstStyle/>
          <a:p>
            <a:pPr>
              <a:defRPr sz="700" b="0" i="0" u="none" strike="noStrike" baseline="0">
                <a:solidFill>
                  <a:srgbClr val="000000"/>
                </a:solidFill>
                <a:latin typeface="Calibri"/>
                <a:ea typeface="Calibri"/>
                <a:cs typeface="Calibri"/>
              </a:defRPr>
            </a:pPr>
            <a:endParaRPr lang="es-ES"/>
          </a:p>
        </c:txPr>
        <c:crossAx val="965476672"/>
        <c:crosses val="autoZero"/>
        <c:auto val="1"/>
        <c:lblAlgn val="ctr"/>
        <c:lblOffset val="100"/>
        <c:noMultiLvlLbl val="0"/>
      </c:catAx>
      <c:valAx>
        <c:axId val="965476672"/>
        <c:scaling>
          <c:orientation val="minMax"/>
        </c:scaling>
        <c:delete val="0"/>
        <c:axPos val="l"/>
        <c:majorGridlines/>
        <c:numFmt formatCode="0.0%"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ES"/>
          </a:p>
        </c:txPr>
        <c:crossAx val="965473536"/>
        <c:crosses val="autoZero"/>
        <c:crossBetween val="between"/>
      </c:valAx>
    </c:plotArea>
    <c:legend>
      <c:legendPos val="r"/>
      <c:layout>
        <c:manualLayout>
          <c:xMode val="edge"/>
          <c:yMode val="edge"/>
          <c:x val="0.74365758353239553"/>
          <c:y val="7.0920408597573953E-2"/>
          <c:w val="0.25634241646760447"/>
          <c:h val="0.14451762786408456"/>
        </c:manualLayout>
      </c:layout>
      <c:overlay val="0"/>
      <c:txPr>
        <a:bodyPr/>
        <a:lstStyle/>
        <a:p>
          <a:pPr>
            <a:defRPr sz="920" b="0" i="0" u="none" strike="noStrike" baseline="0">
              <a:solidFill>
                <a:srgbClr val="000000"/>
              </a:solidFill>
              <a:latin typeface="Calibri"/>
              <a:ea typeface="Calibri"/>
              <a:cs typeface="Calibri"/>
            </a:defRPr>
          </a:pPr>
          <a:endParaRPr lang="es-ES"/>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s-E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40005</xdr:colOff>
      <xdr:row>16</xdr:row>
      <xdr:rowOff>13335</xdr:rowOff>
    </xdr:from>
    <xdr:to>
      <xdr:col>4</xdr:col>
      <xdr:colOff>192405</xdr:colOff>
      <xdr:row>33</xdr:row>
      <xdr:rowOff>152400</xdr:rowOff>
    </xdr:to>
    <xdr:graphicFrame macro="">
      <xdr:nvGraphicFramePr>
        <xdr:cNvPr id="16274976" name="Gráfico 1">
          <a:extLst>
            <a:ext uri="{FF2B5EF4-FFF2-40B4-BE49-F238E27FC236}">
              <a16:creationId xmlns:a16="http://schemas.microsoft.com/office/drawing/2014/main" id="{00000000-0008-0000-0000-00002056F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34</xdr:row>
      <xdr:rowOff>9525</xdr:rowOff>
    </xdr:from>
    <xdr:to>
      <xdr:col>4</xdr:col>
      <xdr:colOff>152400</xdr:colOff>
      <xdr:row>51</xdr:row>
      <xdr:rowOff>95250</xdr:rowOff>
    </xdr:to>
    <xdr:graphicFrame macro="">
      <xdr:nvGraphicFramePr>
        <xdr:cNvPr id="16274977" name="Gráfico 2">
          <a:extLst>
            <a:ext uri="{FF2B5EF4-FFF2-40B4-BE49-F238E27FC236}">
              <a16:creationId xmlns:a16="http://schemas.microsoft.com/office/drawing/2014/main" id="{00000000-0008-0000-0000-00002156F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142875</xdr:colOff>
      <xdr:row>34</xdr:row>
      <xdr:rowOff>0</xdr:rowOff>
    </xdr:from>
    <xdr:to>
      <xdr:col>9</xdr:col>
      <xdr:colOff>361950</xdr:colOff>
      <xdr:row>52</xdr:row>
      <xdr:rowOff>0</xdr:rowOff>
    </xdr:to>
    <xdr:graphicFrame macro="">
      <xdr:nvGraphicFramePr>
        <xdr:cNvPr id="16274978" name="Gráfico 3">
          <a:extLst>
            <a:ext uri="{FF2B5EF4-FFF2-40B4-BE49-F238E27FC236}">
              <a16:creationId xmlns:a16="http://schemas.microsoft.com/office/drawing/2014/main" id="{00000000-0008-0000-0000-00002256F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190500</xdr:colOff>
      <xdr:row>16</xdr:row>
      <xdr:rowOff>19050</xdr:rowOff>
    </xdr:from>
    <xdr:to>
      <xdr:col>9</xdr:col>
      <xdr:colOff>381000</xdr:colOff>
      <xdr:row>34</xdr:row>
      <xdr:rowOff>0</xdr:rowOff>
    </xdr:to>
    <xdr:graphicFrame macro="">
      <xdr:nvGraphicFramePr>
        <xdr:cNvPr id="16274979" name="Gráfico 1">
          <a:extLst>
            <a:ext uri="{FF2B5EF4-FFF2-40B4-BE49-F238E27FC236}">
              <a16:creationId xmlns:a16="http://schemas.microsoft.com/office/drawing/2014/main" id="{00000000-0008-0000-0000-00002356F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28575</xdr:colOff>
      <xdr:row>6</xdr:row>
      <xdr:rowOff>47625</xdr:rowOff>
    </xdr:from>
    <xdr:to>
      <xdr:col>23</xdr:col>
      <xdr:colOff>333375</xdr:colOff>
      <xdr:row>17</xdr:row>
      <xdr:rowOff>47625</xdr:rowOff>
    </xdr:to>
    <xdr:graphicFrame macro="">
      <xdr:nvGraphicFramePr>
        <xdr:cNvPr id="16274980" name="5 Gráfico">
          <a:extLst>
            <a:ext uri="{FF2B5EF4-FFF2-40B4-BE49-F238E27FC236}">
              <a16:creationId xmlns:a16="http://schemas.microsoft.com/office/drawing/2014/main" id="{00000000-0008-0000-0000-00002456F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0</xdr:rowOff>
    </xdr:from>
    <xdr:to>
      <xdr:col>24</xdr:col>
      <xdr:colOff>1114425</xdr:colOff>
      <xdr:row>1</xdr:row>
      <xdr:rowOff>0</xdr:rowOff>
    </xdr:to>
    <xdr:grpSp>
      <xdr:nvGrpSpPr>
        <xdr:cNvPr id="12" name="Group 1">
          <a:extLst>
            <a:ext uri="{FF2B5EF4-FFF2-40B4-BE49-F238E27FC236}">
              <a16:creationId xmlns:a16="http://schemas.microsoft.com/office/drawing/2014/main" id="{00000000-0008-0000-0700-00000C000000}"/>
            </a:ext>
          </a:extLst>
        </xdr:cNvPr>
        <xdr:cNvGrpSpPr>
          <a:grpSpLocks/>
        </xdr:cNvGrpSpPr>
      </xdr:nvGrpSpPr>
      <xdr:grpSpPr bwMode="auto">
        <a:xfrm>
          <a:off x="9525" y="0"/>
          <a:ext cx="25879425" cy="1266825"/>
          <a:chOff x="0" y="0"/>
          <a:chExt cx="14423" cy="1776"/>
        </a:xfrm>
      </xdr:grpSpPr>
      <xdr:sp macro="" textlink="">
        <xdr:nvSpPr>
          <xdr:cNvPr id="13" name="Rectangle 2">
            <a:extLst>
              <a:ext uri="{FF2B5EF4-FFF2-40B4-BE49-F238E27FC236}">
                <a16:creationId xmlns:a16="http://schemas.microsoft.com/office/drawing/2014/main" id="{00000000-0008-0000-0700-00000D000000}"/>
              </a:ext>
            </a:extLst>
          </xdr:cNvPr>
          <xdr:cNvSpPr>
            <a:spLocks noChangeArrowheads="1"/>
          </xdr:cNvSpPr>
        </xdr:nvSpPr>
        <xdr:spPr bwMode="auto">
          <a:xfrm>
            <a:off x="0" y="0"/>
            <a:ext cx="14423" cy="1775"/>
          </a:xfrm>
          <a:prstGeom prst="rect">
            <a:avLst/>
          </a:prstGeom>
          <a:noFill/>
          <a:ln w="936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fLocksText="0">
        <xdr:nvSpPr>
          <xdr:cNvPr id="20" name="Text Box 3">
            <a:extLst>
              <a:ext uri="{FF2B5EF4-FFF2-40B4-BE49-F238E27FC236}">
                <a16:creationId xmlns:a16="http://schemas.microsoft.com/office/drawing/2014/main" id="{00000000-0008-0000-0700-000014000000}"/>
              </a:ext>
            </a:extLst>
          </xdr:cNvPr>
          <xdr:cNvSpPr txBox="1">
            <a:spLocks noChangeArrowheads="1"/>
          </xdr:cNvSpPr>
        </xdr:nvSpPr>
        <xdr:spPr bwMode="auto">
          <a:xfrm>
            <a:off x="11004" y="0"/>
            <a:ext cx="3419" cy="881"/>
          </a:xfrm>
          <a:prstGeom prst="rect">
            <a:avLst/>
          </a:prstGeom>
          <a:solidFill>
            <a:srgbClr val="FFFFFF"/>
          </a:solidFill>
          <a:ln w="9360">
            <a:solidFill>
              <a:srgbClr val="000000"/>
            </a:solidFill>
            <a:miter lim="800000"/>
            <a:headEnd/>
            <a:tailEnd/>
          </a:ln>
          <a:effectLst/>
        </xdr:spPr>
        <xdr:txBody>
          <a:bodyPr vertOverflow="clip" wrap="square" lIns="36360" tIns="27360" rIns="36360" bIns="0" anchor="ctr" upright="1"/>
          <a:lstStyle/>
          <a:p>
            <a:pPr algn="ctr" rtl="0"/>
            <a:r>
              <a:rPr lang="es-CO" sz="900" b="0" i="0">
                <a:effectLst/>
                <a:latin typeface="Arial" pitchFamily="34" charset="0"/>
                <a:ea typeface="+mn-ea"/>
                <a:cs typeface="Arial" pitchFamily="34" charset="0"/>
              </a:rPr>
              <a:t>MEDE01.03.03.P001.F005 </a:t>
            </a:r>
            <a:endParaRPr lang="es-CO" sz="900">
              <a:effectLst/>
              <a:latin typeface="Arial" pitchFamily="34" charset="0"/>
              <a:cs typeface="Arial" pitchFamily="34" charset="0"/>
            </a:endParaRPr>
          </a:p>
        </xdr:txBody>
      </xdr:sp>
      <xdr:sp macro="" textlink="" fLocksText="0">
        <xdr:nvSpPr>
          <xdr:cNvPr id="22" name="Text Box 6">
            <a:extLst>
              <a:ext uri="{FF2B5EF4-FFF2-40B4-BE49-F238E27FC236}">
                <a16:creationId xmlns:a16="http://schemas.microsoft.com/office/drawing/2014/main" id="{00000000-0008-0000-0700-000016000000}"/>
              </a:ext>
            </a:extLst>
          </xdr:cNvPr>
          <xdr:cNvSpPr txBox="1">
            <a:spLocks noChangeArrowheads="1"/>
          </xdr:cNvSpPr>
        </xdr:nvSpPr>
        <xdr:spPr bwMode="auto">
          <a:xfrm>
            <a:off x="12756" y="895"/>
            <a:ext cx="1667" cy="881"/>
          </a:xfrm>
          <a:prstGeom prst="rect">
            <a:avLst/>
          </a:prstGeom>
          <a:solidFill>
            <a:srgbClr val="FFFFFF"/>
          </a:solidFill>
          <a:ln w="9360">
            <a:solidFill>
              <a:srgbClr val="000000"/>
            </a:solidFill>
            <a:miter lim="800000"/>
            <a:headEnd/>
            <a:tailEnd/>
          </a:ln>
          <a:effectLst/>
        </xdr:spPr>
        <xdr:txBody>
          <a:bodyPr vertOverflow="clip" wrap="square" lIns="27360" tIns="22680" rIns="27360" bIns="22680" anchor="ctr" upright="1"/>
          <a:lstStyle/>
          <a:p>
            <a:pPr algn="ctr" rtl="0"/>
            <a:r>
              <a:rPr lang="es-CO" sz="800" b="0" i="0">
                <a:solidFill>
                  <a:schemeClr val="tx1"/>
                </a:solidFill>
                <a:latin typeface="Arial" pitchFamily="34" charset="0"/>
                <a:ea typeface="+mn-ea"/>
                <a:cs typeface="Arial" pitchFamily="34" charset="0"/>
              </a:rPr>
              <a:t>011</a:t>
            </a:r>
            <a:endParaRPr lang="es-CO" sz="800">
              <a:solidFill>
                <a:schemeClr val="tx1"/>
              </a:solidFill>
              <a:latin typeface="Arial" pitchFamily="34" charset="0"/>
              <a:cs typeface="Arial" pitchFamily="34" charset="0"/>
            </a:endParaRPr>
          </a:p>
        </xdr:txBody>
      </xdr:sp>
      <xdr:sp macro="" textlink="" fLocksText="0">
        <xdr:nvSpPr>
          <xdr:cNvPr id="23" name="Text Box 7">
            <a:extLst>
              <a:ext uri="{FF2B5EF4-FFF2-40B4-BE49-F238E27FC236}">
                <a16:creationId xmlns:a16="http://schemas.microsoft.com/office/drawing/2014/main" id="{00000000-0008-0000-0700-000017000000}"/>
              </a:ext>
            </a:extLst>
          </xdr:cNvPr>
          <xdr:cNvSpPr txBox="1">
            <a:spLocks noChangeArrowheads="1"/>
          </xdr:cNvSpPr>
        </xdr:nvSpPr>
        <xdr:spPr bwMode="auto">
          <a:xfrm>
            <a:off x="11004" y="895"/>
            <a:ext cx="1752" cy="881"/>
          </a:xfrm>
          <a:prstGeom prst="rect">
            <a:avLst/>
          </a:prstGeom>
          <a:solidFill>
            <a:srgbClr val="FFFFFF"/>
          </a:solidFill>
          <a:ln w="9360">
            <a:solidFill>
              <a:srgbClr val="000000"/>
            </a:solidFill>
            <a:miter lim="800000"/>
            <a:headEnd/>
            <a:tailEnd/>
          </a:ln>
          <a:effectLst/>
        </xdr:spPr>
        <xdr:txBody>
          <a:bodyPr vertOverflow="clip" wrap="square" lIns="27360" tIns="22680" rIns="27360" bIns="22680" anchor="ctr" upright="1"/>
          <a:lstStyle/>
          <a:p>
            <a:pPr algn="ctr"/>
            <a:r>
              <a:rPr lang="es-CO" sz="800" b="0" i="0">
                <a:effectLst/>
                <a:latin typeface="Arial" panose="020B0604020202020204" pitchFamily="34" charset="0"/>
                <a:ea typeface="+mn-ea"/>
                <a:cs typeface="Arial" panose="020B0604020202020204" pitchFamily="34" charset="0"/>
              </a:rPr>
              <a:t>VERSIÓN</a:t>
            </a:r>
            <a:endParaRPr lang="en-US" sz="800">
              <a:effectLst/>
              <a:latin typeface="Arial" panose="020B0604020202020204" pitchFamily="34" charset="0"/>
              <a:cs typeface="Arial" panose="020B0604020202020204" pitchFamily="34" charset="0"/>
            </a:endParaRPr>
          </a:p>
        </xdr:txBody>
      </xdr:sp>
      <xdr:sp macro="" textlink="" fLocksText="0">
        <xdr:nvSpPr>
          <xdr:cNvPr id="24" name="Text Box 8">
            <a:extLst>
              <a:ext uri="{FF2B5EF4-FFF2-40B4-BE49-F238E27FC236}">
                <a16:creationId xmlns:a16="http://schemas.microsoft.com/office/drawing/2014/main" id="{00000000-0008-0000-0700-000018000000}"/>
              </a:ext>
            </a:extLst>
          </xdr:cNvPr>
          <xdr:cNvSpPr txBox="1">
            <a:spLocks noChangeArrowheads="1"/>
          </xdr:cNvSpPr>
        </xdr:nvSpPr>
        <xdr:spPr bwMode="auto">
          <a:xfrm>
            <a:off x="1778" y="0"/>
            <a:ext cx="9226" cy="1776"/>
          </a:xfrm>
          <a:prstGeom prst="rect">
            <a:avLst/>
          </a:prstGeom>
          <a:solidFill>
            <a:srgbClr val="FFFFFF"/>
          </a:solidFill>
          <a:ln w="9360">
            <a:solidFill>
              <a:srgbClr val="000000"/>
            </a:solidFill>
            <a:miter lim="800000"/>
            <a:headEnd/>
            <a:tailEnd/>
          </a:ln>
          <a:effectLst/>
        </xdr:spPr>
        <xdr:txBody>
          <a:bodyPr vertOverflow="clip" wrap="square" lIns="36360" tIns="22680" rIns="36360" bIns="22680" anchor="ctr" upright="1"/>
          <a:lstStyle/>
          <a:p>
            <a:pPr algn="ctr" rtl="1"/>
            <a:r>
              <a:rPr lang="en-US" sz="1100" b="0" i="0">
                <a:effectLst/>
                <a:latin typeface="Arial" panose="020B0604020202020204" pitchFamily="34" charset="0"/>
                <a:ea typeface="+mn-ea"/>
                <a:cs typeface="Arial" panose="020B0604020202020204" pitchFamily="34" charset="0"/>
              </a:rPr>
              <a:t>MODELO INTEGRADO DE PLANEACIÓN Y GESTIÓN</a:t>
            </a:r>
            <a:endParaRPr lang="es-CO" sz="1000">
              <a:effectLst/>
              <a:latin typeface="Arial" panose="020B0604020202020204" pitchFamily="34" charset="0"/>
              <a:cs typeface="Arial" panose="020B0604020202020204" pitchFamily="34" charset="0"/>
            </a:endParaRPr>
          </a:p>
          <a:p>
            <a:pPr algn="ctr" rtl="0"/>
            <a:r>
              <a:rPr lang="en-US" sz="1100">
                <a:effectLst/>
                <a:latin typeface="Arial" panose="020B0604020202020204" pitchFamily="34" charset="0"/>
                <a:ea typeface="+mn-ea"/>
                <a:cs typeface="Arial" panose="020B0604020202020204" pitchFamily="34" charset="0"/>
              </a:rPr>
              <a:t>(MIPG) </a:t>
            </a:r>
            <a:endParaRPr lang="es-CO" sz="1000">
              <a:effectLst/>
              <a:latin typeface="Arial" panose="020B0604020202020204" pitchFamily="34" charset="0"/>
              <a:cs typeface="Arial" panose="020B0604020202020204" pitchFamily="34" charset="0"/>
            </a:endParaRPr>
          </a:p>
          <a:p>
            <a:pPr algn="ctr"/>
            <a:endParaRPr lang="es-CO" sz="1000">
              <a:effectLst/>
              <a:latin typeface="Arial" panose="020B0604020202020204" pitchFamily="34" charset="0"/>
              <a:cs typeface="Arial" panose="020B0604020202020204" pitchFamily="34" charset="0"/>
            </a:endParaRPr>
          </a:p>
          <a:p>
            <a:pPr algn="ctr"/>
            <a:r>
              <a:rPr lang="es-ES" sz="1200" b="1">
                <a:effectLst/>
                <a:latin typeface="Arial" pitchFamily="34" charset="0"/>
                <a:ea typeface="+mn-ea"/>
                <a:cs typeface="Arial" pitchFamily="34" charset="0"/>
              </a:rPr>
              <a:t>SEGUIMIENTO</a:t>
            </a:r>
            <a:r>
              <a:rPr lang="es-ES" sz="1200" b="1" baseline="0">
                <a:effectLst/>
                <a:latin typeface="Arial" pitchFamily="34" charset="0"/>
                <a:ea typeface="+mn-ea"/>
                <a:cs typeface="Arial" pitchFamily="34" charset="0"/>
              </a:rPr>
              <a:t> DEL PLAN DE ACCIÓN</a:t>
            </a:r>
            <a:endParaRPr lang="es-CO" sz="1200">
              <a:effectLst/>
              <a:latin typeface="Arial" pitchFamily="34" charset="0"/>
              <a:cs typeface="Arial" pitchFamily="34" charset="0"/>
            </a:endParaRPr>
          </a:p>
          <a:p>
            <a:pPr algn="ctr" rtl="0" eaLnBrk="1" fontAlgn="auto" latinLnBrk="0" hangingPunct="1"/>
            <a:r>
              <a:rPr lang="es-CO" sz="1200" b="0">
                <a:effectLst/>
                <a:latin typeface="Arial" pitchFamily="34" charset="0"/>
                <a:ea typeface="+mn-ea"/>
                <a:cs typeface="Arial" pitchFamily="34" charset="0"/>
              </a:rPr>
              <a:t>RELACIÓN DE LOS PROYECTOS DE COMPETENCIA DEL </a:t>
            </a:r>
            <a:r>
              <a:rPr lang="es-CO" sz="1200" b="0">
                <a:solidFill>
                  <a:sysClr val="windowText" lastClr="000000"/>
                </a:solidFill>
                <a:effectLst/>
                <a:latin typeface="Arial" pitchFamily="34" charset="0"/>
                <a:ea typeface="+mn-ea"/>
                <a:cs typeface="Arial" pitchFamily="34" charset="0"/>
              </a:rPr>
              <a:t>ORGANISMO</a:t>
            </a:r>
            <a:r>
              <a:rPr lang="es-CO" sz="1200" b="0">
                <a:effectLst/>
                <a:latin typeface="Arial" pitchFamily="34" charset="0"/>
                <a:ea typeface="+mn-ea"/>
                <a:cs typeface="Arial" pitchFamily="34" charset="0"/>
              </a:rPr>
              <a:t>  FRENTE AL PLAN DE DESARROLLO</a:t>
            </a:r>
            <a:endParaRPr lang="es-CO" sz="1200" b="0">
              <a:effectLst/>
              <a:latin typeface="Arial" pitchFamily="34" charset="0"/>
              <a:cs typeface="Arial" pitchFamily="34" charset="0"/>
            </a:endParaRPr>
          </a:p>
          <a:p>
            <a:pPr algn="ctr" rtl="0"/>
            <a:r>
              <a:rPr lang="es-ES" sz="1200" b="1" i="0">
                <a:effectLst/>
                <a:latin typeface="Arial" pitchFamily="34" charset="0"/>
                <a:ea typeface="+mn-ea"/>
                <a:cs typeface="Arial" pitchFamily="34" charset="0"/>
              </a:rPr>
              <a:t>CUADRO 1S</a:t>
            </a:r>
            <a:endParaRPr lang="es-CO" sz="1200">
              <a:effectLst/>
              <a:latin typeface="Arial" pitchFamily="34" charset="0"/>
              <a:cs typeface="Arial" pitchFamily="34" charset="0"/>
            </a:endParaRPr>
          </a:p>
        </xdr:txBody>
      </xdr:sp>
    </xdr:grpSp>
    <xdr:clientData/>
  </xdr:twoCellAnchor>
  <xdr:twoCellAnchor>
    <xdr:from>
      <xdr:col>1</xdr:col>
      <xdr:colOff>76200</xdr:colOff>
      <xdr:row>0</xdr:row>
      <xdr:rowOff>123825</xdr:rowOff>
    </xdr:from>
    <xdr:to>
      <xdr:col>2</xdr:col>
      <xdr:colOff>428625</xdr:colOff>
      <xdr:row>0</xdr:row>
      <xdr:rowOff>952500</xdr:rowOff>
    </xdr:to>
    <xdr:pic>
      <xdr:nvPicPr>
        <xdr:cNvPr id="25" name="Picture 250" descr="escudo">
          <a:extLst>
            <a:ext uri="{FF2B5EF4-FFF2-40B4-BE49-F238E27FC236}">
              <a16:creationId xmlns:a16="http://schemas.microsoft.com/office/drawing/2014/main" id="{00000000-0008-0000-0700-000019000000}"/>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975" y="123825"/>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514350</xdr:colOff>
      <xdr:row>0</xdr:row>
      <xdr:rowOff>966498</xdr:rowOff>
    </xdr:from>
    <xdr:to>
      <xdr:col>3</xdr:col>
      <xdr:colOff>266700</xdr:colOff>
      <xdr:row>0</xdr:row>
      <xdr:rowOff>1171575</xdr:rowOff>
    </xdr:to>
    <xdr:sp macro="" textlink="">
      <xdr:nvSpPr>
        <xdr:cNvPr id="26" name="Text Box 49">
          <a:extLst>
            <a:ext uri="{FF2B5EF4-FFF2-40B4-BE49-F238E27FC236}">
              <a16:creationId xmlns:a16="http://schemas.microsoft.com/office/drawing/2014/main" id="{00000000-0008-0000-0700-00001A000000}"/>
            </a:ext>
          </a:extLst>
        </xdr:cNvPr>
        <xdr:cNvSpPr txBox="1">
          <a:spLocks noChangeArrowheads="1"/>
        </xdr:cNvSpPr>
      </xdr:nvSpPr>
      <xdr:spPr bwMode="auto">
        <a:xfrm>
          <a:off x="514350" y="966498"/>
          <a:ext cx="1914525" cy="205077"/>
        </a:xfrm>
        <a:prstGeom prst="rect">
          <a:avLst/>
        </a:prstGeom>
        <a:solidFill>
          <a:srgbClr val="FFFFFF"/>
        </a:solidFill>
        <a:ln w="9525" algn="ctr">
          <a:noFill/>
          <a:miter lim="800000"/>
          <a:headEnd/>
          <a:tailEnd/>
        </a:ln>
        <a:effectLst/>
      </xdr:spPr>
      <xdr:txBody>
        <a:bodyPr wrap="square" lIns="27432" tIns="18288" rIns="27432" bIns="18288" anchor="ctr" upright="1"/>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a:lnSpc>
              <a:spcPts val="700"/>
            </a:lnSpc>
          </a:pPr>
          <a:endParaRPr lang="es-CO" sz="700" b="0" i="0">
            <a:latin typeface="Arial" pitchFamily="34" charset="0"/>
            <a:ea typeface="+mn-ea"/>
            <a:cs typeface="Arial" pitchFamily="34" charset="0"/>
          </a:endParaRPr>
        </a:p>
        <a:p>
          <a:pPr algn="ctr" rtl="0">
            <a:lnSpc>
              <a:spcPts val="600"/>
            </a:lnSpc>
          </a:pPr>
          <a:r>
            <a:rPr lang="es-CO" sz="700" b="0" i="0">
              <a:latin typeface="Arial" pitchFamily="34" charset="0"/>
              <a:ea typeface="+mn-ea"/>
              <a:cs typeface="Arial" pitchFamily="34" charset="0"/>
            </a:rPr>
            <a:t>DIRECCIONAMIENTO ESTRATEGICO</a:t>
          </a:r>
        </a:p>
        <a:p>
          <a:pPr algn="ctr" rtl="0">
            <a:lnSpc>
              <a:spcPts val="600"/>
            </a:lnSpc>
          </a:pPr>
          <a:r>
            <a:rPr lang="es-CO" sz="700" b="0" i="0">
              <a:latin typeface="Arial" pitchFamily="34" charset="0"/>
              <a:ea typeface="+mn-ea"/>
              <a:cs typeface="Arial" pitchFamily="34" charset="0"/>
            </a:rPr>
            <a:t>PLANEACION</a:t>
          </a:r>
          <a:r>
            <a:rPr lang="es-CO" sz="700" b="0" i="0" baseline="0">
              <a:latin typeface="Arial" pitchFamily="34" charset="0"/>
              <a:ea typeface="+mn-ea"/>
              <a:cs typeface="Arial" pitchFamily="34" charset="0"/>
            </a:rPr>
            <a:t> ECONOMICA Y SOCIAL</a:t>
          </a:r>
          <a:endParaRPr lang="es-CO" sz="7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
  <sheetViews>
    <sheetView topLeftCell="A46" zoomScaleNormal="100" workbookViewId="0">
      <selection activeCell="A11" sqref="A11:XFD11"/>
    </sheetView>
  </sheetViews>
  <sheetFormatPr baseColWidth="10" defaultColWidth="9.7109375" defaultRowHeight="12.75" x14ac:dyDescent="0.25"/>
  <cols>
    <col min="1" max="1" width="5.7109375" style="6" customWidth="1"/>
    <col min="2" max="2" width="34.28515625" style="6" customWidth="1"/>
    <col min="3" max="3" width="4.5703125" style="6" customWidth="1"/>
    <col min="4" max="4" width="5.7109375" style="6" customWidth="1"/>
    <col min="5" max="5" width="8" style="6" customWidth="1"/>
    <col min="6" max="6" width="12.140625" style="6" customWidth="1"/>
    <col min="7" max="7" width="11.85546875" style="6" customWidth="1"/>
    <col min="8" max="9" width="12" style="6" bestFit="1" customWidth="1"/>
    <col min="10" max="10" width="7.140625" style="6" customWidth="1"/>
    <col min="11" max="11" width="6.140625" style="6" customWidth="1"/>
    <col min="12" max="12" width="4" style="6" customWidth="1"/>
    <col min="13" max="16384" width="9.7109375" style="6"/>
  </cols>
  <sheetData>
    <row r="1" spans="1:12" ht="16.5" x14ac:dyDescent="0.25">
      <c r="A1" s="40" t="s">
        <v>57</v>
      </c>
      <c r="B1" s="5"/>
      <c r="C1" s="4"/>
      <c r="D1" s="4"/>
      <c r="E1" s="4"/>
      <c r="F1" s="5"/>
      <c r="G1" s="5"/>
      <c r="H1" s="5"/>
      <c r="I1" s="5"/>
      <c r="J1" s="5"/>
      <c r="K1" s="5"/>
    </row>
    <row r="2" spans="1:12" x14ac:dyDescent="0.25">
      <c r="A2" s="4" t="s">
        <v>18</v>
      </c>
      <c r="B2" s="5"/>
      <c r="C2" s="4"/>
      <c r="D2" s="4"/>
      <c r="E2" s="4"/>
      <c r="F2" s="5"/>
      <c r="G2" s="5"/>
      <c r="H2" s="5"/>
      <c r="I2" s="5"/>
      <c r="J2" s="5"/>
      <c r="K2" s="5"/>
    </row>
    <row r="3" spans="1:12" ht="5.25" customHeight="1" x14ac:dyDescent="0.25">
      <c r="A3" s="4"/>
      <c r="B3" s="5"/>
      <c r="C3" s="4"/>
      <c r="D3" s="4"/>
      <c r="E3" s="4"/>
      <c r="F3" s="5"/>
      <c r="G3" s="5"/>
      <c r="H3" s="5"/>
      <c r="I3" s="5"/>
      <c r="J3" s="5"/>
      <c r="K3" s="5"/>
    </row>
    <row r="4" spans="1:12" x14ac:dyDescent="0.25">
      <c r="A4" s="5" t="s">
        <v>49</v>
      </c>
      <c r="B4" s="5"/>
      <c r="C4" s="4"/>
      <c r="D4" s="4"/>
      <c r="E4" s="4"/>
      <c r="F4" s="5"/>
      <c r="G4" s="5"/>
      <c r="H4" s="5"/>
      <c r="I4" s="5"/>
      <c r="J4" s="5"/>
      <c r="K4" s="5"/>
    </row>
    <row r="5" spans="1:12" x14ac:dyDescent="0.25">
      <c r="A5" s="7" t="s">
        <v>363</v>
      </c>
      <c r="B5" s="5"/>
      <c r="C5" s="4"/>
      <c r="D5" s="4"/>
      <c r="E5" s="4"/>
      <c r="F5" s="5"/>
      <c r="G5" s="5"/>
      <c r="H5" s="5"/>
      <c r="I5" s="5"/>
      <c r="J5" s="5"/>
      <c r="K5" s="5"/>
    </row>
    <row r="6" spans="1:12" ht="9" customHeight="1" x14ac:dyDescent="0.25">
      <c r="A6" s="5"/>
      <c r="B6" s="4"/>
      <c r="C6" s="4"/>
      <c r="D6" s="4"/>
      <c r="E6" s="4"/>
      <c r="F6" s="5"/>
      <c r="G6" s="5"/>
      <c r="H6" s="5"/>
      <c r="I6" s="5"/>
      <c r="J6" s="5"/>
      <c r="K6" s="8" t="s">
        <v>43</v>
      </c>
    </row>
    <row r="7" spans="1:12" ht="18.75" customHeight="1" x14ac:dyDescent="0.25">
      <c r="A7" s="219" t="s">
        <v>34</v>
      </c>
      <c r="B7" s="221" t="s">
        <v>48</v>
      </c>
      <c r="C7" s="221" t="s">
        <v>37</v>
      </c>
      <c r="D7" s="221"/>
      <c r="E7" s="222" t="s">
        <v>38</v>
      </c>
      <c r="F7" s="221" t="s">
        <v>46</v>
      </c>
      <c r="G7" s="221"/>
      <c r="H7" s="221"/>
      <c r="I7" s="221"/>
      <c r="J7" s="221"/>
      <c r="K7" s="221"/>
    </row>
    <row r="8" spans="1:12" ht="27.6" customHeight="1" x14ac:dyDescent="0.25">
      <c r="A8" s="220"/>
      <c r="B8" s="221"/>
      <c r="C8" s="23" t="s">
        <v>44</v>
      </c>
      <c r="D8" s="23" t="s">
        <v>45</v>
      </c>
      <c r="E8" s="223"/>
      <c r="F8" s="1" t="s">
        <v>19</v>
      </c>
      <c r="G8" s="1" t="s">
        <v>20</v>
      </c>
      <c r="H8" s="1" t="s">
        <v>21</v>
      </c>
      <c r="I8" s="1" t="s">
        <v>39</v>
      </c>
      <c r="J8" s="1" t="s">
        <v>22</v>
      </c>
      <c r="K8" s="1" t="s">
        <v>40</v>
      </c>
    </row>
    <row r="9" spans="1:12" ht="7.5" customHeight="1" x14ac:dyDescent="0.25">
      <c r="A9" s="5"/>
      <c r="B9" s="9"/>
      <c r="C9" s="9"/>
      <c r="D9" s="9"/>
      <c r="E9" s="9"/>
      <c r="F9" s="9"/>
      <c r="G9" s="9"/>
      <c r="H9" s="9"/>
      <c r="I9" s="9"/>
      <c r="J9" s="10"/>
      <c r="K9" s="5"/>
    </row>
    <row r="10" spans="1:12" ht="12" customHeight="1" x14ac:dyDescent="0.25">
      <c r="A10" s="31" t="s">
        <v>35</v>
      </c>
      <c r="B10" s="209" t="s">
        <v>36</v>
      </c>
      <c r="C10" s="84">
        <f>'4132 Planeacion'!C140</f>
        <v>29</v>
      </c>
      <c r="D10" s="84">
        <f>'4132 Planeacion'!C140-'4132 Planeacion'!G140</f>
        <v>29</v>
      </c>
      <c r="E10" s="85">
        <f>'4132 Planeacion'!O140</f>
        <v>7.3217241379310349E-2</v>
      </c>
      <c r="F10" s="86">
        <v>25423593178</v>
      </c>
      <c r="G10" s="86">
        <v>25423593178</v>
      </c>
      <c r="H10" s="86">
        <v>4471942000</v>
      </c>
      <c r="I10" s="86">
        <v>1860036498</v>
      </c>
      <c r="J10" s="85">
        <f t="shared" ref="J10" si="0">H10/G10</f>
        <v>0.17589732374532099</v>
      </c>
      <c r="K10" s="87">
        <f t="shared" ref="K10" si="1">IF(H10=0,0,I10/H10)</f>
        <v>0.41593484396711766</v>
      </c>
      <c r="L10" s="11"/>
    </row>
    <row r="11" spans="1:12" ht="7.5" customHeight="1" x14ac:dyDescent="0.25">
      <c r="A11" s="24"/>
      <c r="B11" s="32"/>
      <c r="C11" s="33"/>
      <c r="D11" s="33"/>
      <c r="E11" s="34"/>
      <c r="F11" s="27"/>
      <c r="G11" s="27"/>
      <c r="H11" s="27"/>
      <c r="I11" s="27"/>
      <c r="J11" s="29"/>
      <c r="K11" s="35"/>
    </row>
    <row r="12" spans="1:12" ht="12.75" customHeight="1" x14ac:dyDescent="0.25">
      <c r="A12" s="24"/>
      <c r="B12" s="32" t="s">
        <v>23</v>
      </c>
      <c r="C12" s="28">
        <f>SUM(C10:C10)</f>
        <v>29</v>
      </c>
      <c r="D12" s="28">
        <f>SUM(D10:D10)</f>
        <v>29</v>
      </c>
      <c r="E12" s="29" t="e">
        <f>(#REF!*#REF!+#REF!*#REF!+#REF!*#REF!+#REF!*#REF!+#REF!*#REF!+D10*E10+#REF!*#REF!+#REF!*#REF!+#REF!*#REF!+#REF!*#REF!+#REF!*#REF!+#REF!*#REF!+#REF!*#REF!+#REF!*#REF!+#REF!*#REF!+#REF!*#REF!+#REF!*#REF!+#REF!*#REF!+#REF!*#REF!+#REF!*#REF!+#REF!*#REF!+#REF!*#REF!+#REF!*#REF!+#REF!*#REF!+#REF!*#REF!+#REF!*#REF!+#REF!*#REF!)/D12</f>
        <v>#REF!</v>
      </c>
      <c r="F12" s="28">
        <f>SUM(F10:F10)</f>
        <v>25423593178</v>
      </c>
      <c r="G12" s="28">
        <f>SUM(G10:G10)</f>
        <v>25423593178</v>
      </c>
      <c r="H12" s="28">
        <f>SUM(H10:H10)</f>
        <v>4471942000</v>
      </c>
      <c r="I12" s="28">
        <f>SUM(I10:I10)</f>
        <v>1860036498</v>
      </c>
      <c r="J12" s="29">
        <f>H12/G12</f>
        <v>0.17589732374532099</v>
      </c>
      <c r="K12" s="30">
        <f>I12/H12</f>
        <v>0.41593484396711766</v>
      </c>
    </row>
    <row r="13" spans="1:12" ht="8.25" customHeight="1" x14ac:dyDescent="0.25">
      <c r="A13" s="12"/>
      <c r="B13" s="13"/>
      <c r="C13" s="13"/>
      <c r="D13" s="13"/>
      <c r="E13" s="13"/>
      <c r="F13" s="12"/>
      <c r="G13" s="12"/>
      <c r="H13" s="12"/>
      <c r="I13" s="12"/>
      <c r="J13" s="12"/>
      <c r="K13" s="12"/>
    </row>
    <row r="14" spans="1:12" x14ac:dyDescent="0.25">
      <c r="A14" s="36" t="s">
        <v>47</v>
      </c>
      <c r="B14" s="5"/>
      <c r="C14" s="5"/>
      <c r="D14" s="5"/>
      <c r="E14" s="5"/>
      <c r="F14" s="5"/>
      <c r="G14" s="5"/>
      <c r="H14" s="5"/>
      <c r="I14" s="5"/>
      <c r="J14" s="5"/>
      <c r="K14" s="5"/>
    </row>
    <row r="15" spans="1:12" ht="10.5" customHeight="1" x14ac:dyDescent="0.25">
      <c r="A15" s="37"/>
      <c r="B15" s="5"/>
      <c r="C15" s="5"/>
      <c r="D15" s="5"/>
      <c r="E15" s="5"/>
      <c r="F15" s="28"/>
      <c r="G15" s="28"/>
      <c r="H15" s="28"/>
      <c r="I15" s="28"/>
      <c r="J15" s="5"/>
      <c r="K15" s="5"/>
    </row>
    <row r="16" spans="1:12" x14ac:dyDescent="0.25">
      <c r="A16" s="37"/>
      <c r="B16" s="5"/>
      <c r="C16" s="5"/>
      <c r="D16" s="5"/>
      <c r="E16" s="5"/>
      <c r="F16" s="5"/>
      <c r="G16" s="5"/>
      <c r="H16" s="5"/>
      <c r="I16" s="5"/>
      <c r="J16" s="5"/>
      <c r="K16" s="5"/>
    </row>
    <row r="17" spans="1:11" x14ac:dyDescent="0.25">
      <c r="G17" s="14"/>
      <c r="H17" s="14"/>
      <c r="I17" s="14"/>
    </row>
    <row r="18" spans="1:11" x14ac:dyDescent="0.25">
      <c r="A18" s="15" t="s">
        <v>24</v>
      </c>
      <c r="B18" s="11"/>
      <c r="C18" s="11"/>
      <c r="D18" s="11"/>
    </row>
    <row r="19" spans="1:11" x14ac:dyDescent="0.25">
      <c r="A19" s="18" t="s">
        <v>25</v>
      </c>
      <c r="B19" s="19" t="s">
        <v>26</v>
      </c>
      <c r="C19" s="19"/>
      <c r="D19" s="19"/>
      <c r="E19" s="20"/>
      <c r="F19" s="20"/>
      <c r="G19" s="20"/>
      <c r="H19" s="20"/>
      <c r="I19" s="20"/>
      <c r="J19" s="20"/>
      <c r="K19" s="20"/>
    </row>
    <row r="20" spans="1:11" x14ac:dyDescent="0.25">
      <c r="A20" s="21">
        <v>0</v>
      </c>
      <c r="B20" s="19">
        <v>0.2</v>
      </c>
      <c r="C20" s="19"/>
      <c r="D20" s="19"/>
      <c r="E20" s="20"/>
      <c r="F20" s="20"/>
      <c r="G20" s="20"/>
      <c r="H20" s="20"/>
      <c r="I20" s="20"/>
      <c r="J20" s="20"/>
      <c r="K20" s="20"/>
    </row>
    <row r="21" spans="1:11" x14ac:dyDescent="0.25">
      <c r="A21" s="21">
        <v>0.2</v>
      </c>
      <c r="B21" s="19">
        <v>0.2</v>
      </c>
      <c r="C21" s="19"/>
      <c r="D21" s="19"/>
      <c r="E21" s="20"/>
      <c r="F21" s="20"/>
      <c r="G21" s="20"/>
      <c r="H21" s="20"/>
      <c r="I21" s="20"/>
      <c r="J21" s="20"/>
      <c r="K21" s="20"/>
    </row>
    <row r="22" spans="1:11" x14ac:dyDescent="0.25">
      <c r="A22" s="21">
        <v>0.4</v>
      </c>
      <c r="B22" s="19">
        <v>0.2</v>
      </c>
      <c r="C22" s="19"/>
      <c r="D22" s="19"/>
      <c r="E22" s="20"/>
      <c r="F22" s="20"/>
      <c r="G22" s="20"/>
      <c r="H22" s="20"/>
      <c r="I22" s="20"/>
      <c r="J22" s="20"/>
      <c r="K22" s="20"/>
    </row>
    <row r="23" spans="1:11" x14ac:dyDescent="0.25">
      <c r="A23" s="21">
        <v>0.6</v>
      </c>
      <c r="B23" s="19">
        <v>0.2</v>
      </c>
      <c r="C23" s="19"/>
      <c r="D23" s="19"/>
      <c r="E23" s="20"/>
      <c r="F23" s="20"/>
      <c r="G23" s="20"/>
      <c r="H23" s="20"/>
      <c r="I23" s="20"/>
      <c r="J23" s="20"/>
      <c r="K23" s="20"/>
    </row>
    <row r="24" spans="1:11" x14ac:dyDescent="0.25">
      <c r="A24" s="21">
        <v>0.8</v>
      </c>
      <c r="B24" s="19">
        <v>0.2</v>
      </c>
      <c r="C24" s="19"/>
      <c r="D24" s="19"/>
      <c r="E24" s="20"/>
      <c r="F24" s="20"/>
      <c r="G24" s="20"/>
      <c r="H24" s="20"/>
      <c r="I24" s="20"/>
      <c r="J24" s="20"/>
      <c r="K24" s="20"/>
    </row>
    <row r="25" spans="1:11" x14ac:dyDescent="0.25">
      <c r="A25" s="21">
        <v>1</v>
      </c>
      <c r="B25" s="19">
        <v>1</v>
      </c>
      <c r="C25" s="19"/>
      <c r="D25" s="19"/>
      <c r="E25" s="20"/>
      <c r="F25" s="20"/>
      <c r="G25" s="20"/>
      <c r="H25" s="20"/>
      <c r="I25" s="20"/>
      <c r="J25" s="20"/>
      <c r="K25" s="20"/>
    </row>
    <row r="26" spans="1:11" x14ac:dyDescent="0.25">
      <c r="A26" s="19"/>
      <c r="B26" s="19"/>
      <c r="C26" s="19"/>
      <c r="D26" s="19"/>
      <c r="E26" s="20"/>
      <c r="F26" s="20"/>
      <c r="G26" s="20"/>
      <c r="H26" s="20"/>
      <c r="I26" s="20"/>
      <c r="J26" s="20"/>
      <c r="K26" s="20"/>
    </row>
    <row r="27" spans="1:11" x14ac:dyDescent="0.25">
      <c r="A27" s="18" t="s">
        <v>27</v>
      </c>
      <c r="B27" s="19">
        <f>((J12-A20)/(A25-A20))*PI()</f>
        <v>0.55259774006440587</v>
      </c>
      <c r="C27" s="19"/>
      <c r="D27" s="19"/>
      <c r="E27" s="20"/>
      <c r="F27" s="20"/>
      <c r="G27" s="20"/>
      <c r="H27" s="20"/>
      <c r="I27" s="20"/>
      <c r="J27" s="20"/>
      <c r="K27" s="20"/>
    </row>
    <row r="28" spans="1:11" x14ac:dyDescent="0.25">
      <c r="A28" s="18"/>
      <c r="B28" s="19"/>
      <c r="C28" s="19"/>
      <c r="D28" s="19"/>
      <c r="E28" s="20"/>
      <c r="F28" s="20"/>
      <c r="G28" s="20"/>
      <c r="H28" s="20"/>
      <c r="I28" s="20"/>
      <c r="J28" s="20"/>
      <c r="K28" s="20"/>
    </row>
    <row r="29" spans="1:11" x14ac:dyDescent="0.25">
      <c r="A29" s="18" t="s">
        <v>28</v>
      </c>
      <c r="B29" s="19" t="s">
        <v>29</v>
      </c>
      <c r="C29" s="19" t="s">
        <v>30</v>
      </c>
      <c r="D29" s="19"/>
      <c r="E29" s="20"/>
      <c r="F29" s="20"/>
      <c r="G29" s="20"/>
      <c r="H29" s="20"/>
      <c r="I29" s="20"/>
      <c r="J29" s="20"/>
      <c r="K29" s="20"/>
    </row>
    <row r="30" spans="1:11" x14ac:dyDescent="0.25">
      <c r="A30" s="18" t="s">
        <v>31</v>
      </c>
      <c r="B30" s="19">
        <v>0</v>
      </c>
      <c r="C30" s="19">
        <v>0</v>
      </c>
      <c r="D30" s="19"/>
      <c r="E30" s="20"/>
      <c r="F30" s="20"/>
      <c r="G30" s="20"/>
      <c r="H30" s="20"/>
      <c r="I30" s="20"/>
      <c r="J30" s="20"/>
      <c r="K30" s="20"/>
    </row>
    <row r="31" spans="1:11" x14ac:dyDescent="0.25">
      <c r="A31" s="18" t="s">
        <v>32</v>
      </c>
      <c r="B31" s="22">
        <f>-COS(B27)</f>
        <v>-0.85116384150674207</v>
      </c>
      <c r="C31" s="22">
        <f>SIN(B27)</f>
        <v>0.52490009993472619</v>
      </c>
      <c r="D31" s="22"/>
      <c r="E31" s="20"/>
      <c r="F31" s="20"/>
      <c r="G31" s="20"/>
      <c r="H31" s="20"/>
      <c r="I31" s="20"/>
      <c r="J31" s="20"/>
      <c r="K31" s="20"/>
    </row>
    <row r="32" spans="1:11" x14ac:dyDescent="0.25">
      <c r="A32" s="20"/>
      <c r="B32" s="20"/>
      <c r="C32" s="20"/>
      <c r="D32" s="20"/>
      <c r="E32" s="20"/>
      <c r="F32" s="18" t="s">
        <v>41</v>
      </c>
      <c r="G32" s="19" t="e">
        <f>((E12-A20)/(A25-A20))*PI()</f>
        <v>#REF!</v>
      </c>
      <c r="H32" s="19"/>
      <c r="I32" s="20"/>
      <c r="J32" s="20"/>
      <c r="K32" s="20"/>
    </row>
    <row r="33" spans="1:11" x14ac:dyDescent="0.25">
      <c r="A33" s="20"/>
      <c r="B33" s="20"/>
      <c r="C33" s="20"/>
      <c r="D33" s="20"/>
      <c r="E33" s="20"/>
      <c r="F33" s="18"/>
      <c r="G33" s="19"/>
      <c r="H33" s="19"/>
      <c r="I33" s="20"/>
      <c r="J33" s="20"/>
      <c r="K33" s="20"/>
    </row>
    <row r="34" spans="1:11" x14ac:dyDescent="0.25">
      <c r="A34" s="20"/>
      <c r="B34" s="20"/>
      <c r="C34" s="20"/>
      <c r="D34" s="20"/>
      <c r="E34" s="20"/>
      <c r="F34" s="18" t="s">
        <v>28</v>
      </c>
      <c r="G34" s="19" t="s">
        <v>29</v>
      </c>
      <c r="H34" s="19" t="s">
        <v>30</v>
      </c>
      <c r="I34" s="20"/>
      <c r="J34" s="20"/>
      <c r="K34" s="20"/>
    </row>
    <row r="35" spans="1:11" x14ac:dyDescent="0.25">
      <c r="A35" s="20"/>
      <c r="B35" s="20"/>
      <c r="C35" s="20"/>
      <c r="D35" s="20"/>
      <c r="E35" s="20"/>
      <c r="F35" s="18" t="s">
        <v>31</v>
      </c>
      <c r="G35" s="19">
        <v>0</v>
      </c>
      <c r="H35" s="19">
        <v>0</v>
      </c>
      <c r="I35" s="20"/>
      <c r="J35" s="20"/>
      <c r="K35" s="20"/>
    </row>
    <row r="36" spans="1:11" x14ac:dyDescent="0.25">
      <c r="A36" s="20"/>
      <c r="B36" s="20"/>
      <c r="C36" s="20"/>
      <c r="D36" s="20"/>
      <c r="E36" s="20"/>
      <c r="F36" s="18" t="s">
        <v>32</v>
      </c>
      <c r="G36" s="22" t="e">
        <f>-COS(G32)</f>
        <v>#REF!</v>
      </c>
      <c r="H36" s="22" t="e">
        <f>SIN(G32)</f>
        <v>#REF!</v>
      </c>
      <c r="I36" s="20"/>
      <c r="J36" s="20"/>
      <c r="K36" s="20"/>
    </row>
    <row r="37" spans="1:11" x14ac:dyDescent="0.25">
      <c r="A37" s="20"/>
      <c r="B37" s="20"/>
      <c r="C37" s="20"/>
      <c r="D37" s="20"/>
      <c r="E37" s="20"/>
      <c r="F37" s="20"/>
      <c r="G37" s="20"/>
      <c r="H37" s="20"/>
      <c r="I37" s="20"/>
      <c r="J37" s="20"/>
      <c r="K37" s="20"/>
    </row>
    <row r="38" spans="1:11" x14ac:dyDescent="0.25">
      <c r="A38" s="20"/>
      <c r="B38" s="20"/>
      <c r="C38" s="20"/>
      <c r="D38" s="20"/>
      <c r="E38" s="20"/>
      <c r="F38" s="20"/>
      <c r="G38" s="20"/>
      <c r="H38" s="20"/>
      <c r="I38" s="20"/>
      <c r="J38" s="20"/>
      <c r="K38" s="20"/>
    </row>
    <row r="39" spans="1:11" x14ac:dyDescent="0.25">
      <c r="A39" s="20"/>
      <c r="B39" s="20"/>
      <c r="C39" s="20"/>
      <c r="D39" s="20"/>
      <c r="E39" s="20"/>
      <c r="F39" s="20"/>
      <c r="G39" s="20"/>
      <c r="H39" s="20"/>
      <c r="I39" s="20"/>
      <c r="J39" s="20"/>
      <c r="K39" s="20"/>
    </row>
    <row r="40" spans="1:11" x14ac:dyDescent="0.25">
      <c r="A40" s="20"/>
      <c r="B40" s="20"/>
      <c r="C40" s="20"/>
      <c r="D40" s="20"/>
      <c r="E40" s="20"/>
      <c r="F40" s="20"/>
      <c r="G40" s="20"/>
      <c r="H40" s="20"/>
      <c r="I40" s="20"/>
      <c r="J40" s="20"/>
      <c r="K40" s="20"/>
    </row>
    <row r="41" spans="1:11" x14ac:dyDescent="0.25">
      <c r="A41" s="20"/>
      <c r="B41" s="20"/>
      <c r="C41" s="20"/>
      <c r="D41" s="20"/>
      <c r="E41" s="20"/>
      <c r="F41" s="20"/>
      <c r="G41" s="20"/>
      <c r="H41" s="20"/>
      <c r="I41" s="20"/>
      <c r="J41" s="20"/>
      <c r="K41" s="20"/>
    </row>
    <row r="42" spans="1:11" x14ac:dyDescent="0.25">
      <c r="A42" s="20"/>
      <c r="B42" s="20"/>
      <c r="C42" s="20"/>
      <c r="D42" s="20"/>
      <c r="E42" s="20"/>
      <c r="F42" s="20"/>
      <c r="G42" s="20"/>
      <c r="H42" s="20"/>
      <c r="I42" s="20"/>
      <c r="J42" s="20"/>
      <c r="K42" s="20"/>
    </row>
    <row r="43" spans="1:11" x14ac:dyDescent="0.25">
      <c r="A43" s="20"/>
      <c r="B43" s="20"/>
      <c r="C43" s="20"/>
      <c r="D43" s="20"/>
      <c r="E43" s="20"/>
      <c r="F43" s="20"/>
      <c r="G43" s="20"/>
      <c r="H43" s="20"/>
      <c r="I43" s="20"/>
      <c r="J43" s="20"/>
      <c r="K43" s="20"/>
    </row>
    <row r="44" spans="1:11" x14ac:dyDescent="0.25">
      <c r="A44" s="18" t="s">
        <v>33</v>
      </c>
      <c r="B44" s="19">
        <f>((K12-A20)/(A25-A20))*PI()</f>
        <v>1.3066978501791138</v>
      </c>
      <c r="C44" s="19"/>
      <c r="D44" s="19"/>
      <c r="E44" s="20"/>
      <c r="F44" s="20"/>
      <c r="G44" s="20"/>
      <c r="H44" s="20"/>
      <c r="I44" s="20"/>
      <c r="J44" s="20"/>
      <c r="K44" s="20"/>
    </row>
    <row r="45" spans="1:11" x14ac:dyDescent="0.25">
      <c r="A45" s="18"/>
      <c r="B45" s="19"/>
      <c r="C45" s="19"/>
      <c r="D45" s="19"/>
      <c r="E45" s="20"/>
      <c r="F45" s="20"/>
      <c r="G45" s="20"/>
      <c r="H45" s="20"/>
      <c r="I45" s="20"/>
      <c r="J45" s="20"/>
      <c r="K45" s="20"/>
    </row>
    <row r="46" spans="1:11" x14ac:dyDescent="0.25">
      <c r="A46" s="18" t="s">
        <v>28</v>
      </c>
      <c r="B46" s="19" t="s">
        <v>29</v>
      </c>
      <c r="C46" s="19" t="s">
        <v>30</v>
      </c>
      <c r="D46" s="19"/>
      <c r="E46" s="20"/>
      <c r="F46" s="20"/>
      <c r="G46" s="20"/>
      <c r="H46" s="20"/>
      <c r="I46" s="20"/>
      <c r="J46" s="20"/>
      <c r="K46" s="20"/>
    </row>
    <row r="47" spans="1:11" x14ac:dyDescent="0.25">
      <c r="A47" s="18" t="s">
        <v>31</v>
      </c>
      <c r="B47" s="19">
        <v>0</v>
      </c>
      <c r="C47" s="19">
        <v>0</v>
      </c>
      <c r="D47" s="19"/>
      <c r="E47" s="20"/>
      <c r="F47" s="20"/>
      <c r="G47" s="20"/>
      <c r="H47" s="20"/>
      <c r="I47" s="20"/>
      <c r="J47" s="20"/>
      <c r="K47" s="20"/>
    </row>
    <row r="48" spans="1:11" x14ac:dyDescent="0.25">
      <c r="A48" s="18" t="s">
        <v>32</v>
      </c>
      <c r="B48" s="22">
        <f>-COS(B44)</f>
        <v>-0.26103910837726257</v>
      </c>
      <c r="C48" s="22">
        <f>SIN(B44)</f>
        <v>0.96532822599238433</v>
      </c>
      <c r="D48" s="22"/>
      <c r="E48" s="20"/>
      <c r="F48" s="20"/>
      <c r="G48" s="20"/>
      <c r="H48" s="20"/>
      <c r="I48" s="20"/>
      <c r="J48" s="20"/>
      <c r="K48" s="20"/>
    </row>
    <row r="49" spans="1:11" x14ac:dyDescent="0.25">
      <c r="A49" s="20"/>
      <c r="B49" s="20"/>
      <c r="C49" s="20"/>
      <c r="D49" s="20"/>
      <c r="E49" s="20"/>
      <c r="F49" s="20"/>
      <c r="G49" s="20"/>
      <c r="H49" s="20"/>
      <c r="I49" s="20"/>
      <c r="J49" s="20"/>
      <c r="K49" s="20"/>
    </row>
  </sheetData>
  <mergeCells count="5">
    <mergeCell ref="A7:A8"/>
    <mergeCell ref="B7:B8"/>
    <mergeCell ref="F7:K7"/>
    <mergeCell ref="E7:E8"/>
    <mergeCell ref="C7:D7"/>
  </mergeCells>
  <printOptions horizontalCentered="1"/>
  <pageMargins left="0.78740157480314965" right="0.78740157480314965" top="0.78740157480314965" bottom="0.59055118110236227" header="0" footer="0"/>
  <pageSetup scale="74" orientation="portrait"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42"/>
  <sheetViews>
    <sheetView tabSelected="1" topLeftCell="A28" zoomScaleNormal="100" zoomScaleSheetLayoutView="100" workbookViewId="0">
      <selection activeCell="A2" sqref="A2:Y2"/>
    </sheetView>
  </sheetViews>
  <sheetFormatPr baseColWidth="10" defaultColWidth="11.42578125" defaultRowHeight="16.5" x14ac:dyDescent="0.25"/>
  <cols>
    <col min="1" max="1" width="13" style="2" customWidth="1"/>
    <col min="2" max="2" width="10.85546875" style="3" customWidth="1"/>
    <col min="3" max="3" width="8.5703125" style="2" customWidth="1"/>
    <col min="4" max="4" width="55" style="3" customWidth="1"/>
    <col min="5" max="5" width="13" style="3" customWidth="1"/>
    <col min="6" max="8" width="12.42578125" style="3" customWidth="1"/>
    <col min="9" max="9" width="17.7109375" style="3" customWidth="1"/>
    <col min="10" max="10" width="17.5703125" style="2" customWidth="1"/>
    <col min="11" max="13" width="13.140625" style="16" customWidth="1"/>
    <col min="14" max="14" width="12.7109375" style="3" customWidth="1"/>
    <col min="15" max="15" width="11.7109375" style="2" customWidth="1"/>
    <col min="16" max="16" width="14.28515625" style="3" customWidth="1"/>
    <col min="17" max="17" width="14.140625" style="3" customWidth="1"/>
    <col min="18" max="21" width="12.7109375" style="3" customWidth="1"/>
    <col min="22" max="23" width="10.7109375" style="3" customWidth="1"/>
    <col min="24" max="24" width="34" style="3" customWidth="1"/>
    <col min="25" max="25" width="17.140625" style="17" customWidth="1"/>
    <col min="26" max="26" width="12.85546875" style="3" bestFit="1" customWidth="1"/>
    <col min="27" max="27" width="12.42578125" style="3" bestFit="1" customWidth="1"/>
    <col min="28" max="16384" width="11.42578125" style="3"/>
  </cols>
  <sheetData>
    <row r="1" spans="1:25" ht="99.95" customHeight="1" x14ac:dyDescent="0.25">
      <c r="A1" s="234"/>
      <c r="B1" s="234"/>
      <c r="C1" s="234"/>
      <c r="D1" s="234"/>
      <c r="E1" s="234"/>
      <c r="F1" s="234"/>
      <c r="G1" s="234"/>
      <c r="H1" s="234"/>
      <c r="I1" s="234"/>
      <c r="J1" s="234"/>
      <c r="K1" s="234"/>
      <c r="L1" s="234"/>
      <c r="M1" s="234"/>
      <c r="N1" s="234"/>
      <c r="O1" s="234"/>
      <c r="P1" s="234"/>
      <c r="Q1" s="234"/>
      <c r="R1" s="234"/>
      <c r="S1" s="234"/>
      <c r="T1" s="234"/>
      <c r="U1" s="234"/>
      <c r="V1" s="234"/>
      <c r="W1" s="234"/>
      <c r="X1" s="234"/>
    </row>
    <row r="2" spans="1:25" s="26" customFormat="1" ht="25.5" customHeight="1" x14ac:dyDescent="0.25">
      <c r="A2" s="224"/>
      <c r="B2" s="225"/>
      <c r="C2" s="225"/>
      <c r="D2" s="225"/>
      <c r="E2" s="225"/>
      <c r="F2" s="225"/>
      <c r="G2" s="225"/>
      <c r="H2" s="225"/>
      <c r="I2" s="225"/>
      <c r="J2" s="225"/>
      <c r="K2" s="225"/>
      <c r="L2" s="225"/>
      <c r="M2" s="225"/>
      <c r="N2" s="225"/>
      <c r="O2" s="225"/>
      <c r="P2" s="225"/>
      <c r="Q2" s="225"/>
      <c r="R2" s="225"/>
      <c r="S2" s="225"/>
      <c r="T2" s="225"/>
      <c r="U2" s="225"/>
      <c r="V2" s="225"/>
      <c r="W2" s="225"/>
      <c r="X2" s="225"/>
      <c r="Y2" s="226"/>
    </row>
    <row r="3" spans="1:25" s="25" customFormat="1" ht="24.95" customHeight="1" x14ac:dyDescent="0.25">
      <c r="A3" s="227" t="s">
        <v>51</v>
      </c>
      <c r="B3" s="227"/>
      <c r="C3" s="227" t="s">
        <v>42</v>
      </c>
      <c r="D3" s="227"/>
      <c r="E3" s="227"/>
      <c r="F3" s="227"/>
      <c r="G3" s="227"/>
      <c r="H3" s="227"/>
      <c r="I3" s="227"/>
      <c r="J3" s="227"/>
      <c r="K3" s="227"/>
      <c r="L3" s="227"/>
      <c r="M3" s="227"/>
      <c r="N3" s="227"/>
      <c r="O3" s="227"/>
      <c r="P3" s="227"/>
      <c r="Q3" s="227"/>
      <c r="R3" s="227"/>
      <c r="S3" s="228" t="s">
        <v>17</v>
      </c>
      <c r="T3" s="228"/>
      <c r="U3" s="228"/>
      <c r="V3" s="229">
        <v>45382</v>
      </c>
      <c r="W3" s="228"/>
      <c r="X3" s="38" t="s">
        <v>5</v>
      </c>
      <c r="Y3" s="39">
        <v>2024</v>
      </c>
    </row>
    <row r="4" spans="1:25" s="26" customFormat="1" ht="25.5" customHeight="1" x14ac:dyDescent="0.25">
      <c r="A4" s="235"/>
      <c r="B4" s="235"/>
      <c r="C4" s="235"/>
      <c r="D4" s="235"/>
      <c r="E4" s="235"/>
      <c r="F4" s="235"/>
      <c r="G4" s="235"/>
      <c r="H4" s="235"/>
      <c r="I4" s="235"/>
      <c r="J4" s="235"/>
      <c r="K4" s="235"/>
      <c r="L4" s="235"/>
      <c r="M4" s="235"/>
      <c r="N4" s="235"/>
      <c r="O4" s="235"/>
      <c r="P4" s="235"/>
      <c r="Q4" s="235"/>
      <c r="R4" s="235"/>
      <c r="S4" s="235"/>
      <c r="T4" s="235"/>
      <c r="U4" s="235"/>
      <c r="V4" s="235"/>
      <c r="W4" s="235"/>
      <c r="X4" s="235"/>
      <c r="Y4" s="235"/>
    </row>
    <row r="5" spans="1:25" ht="53.25" customHeight="1" x14ac:dyDescent="0.25">
      <c r="A5" s="230" t="s">
        <v>52</v>
      </c>
      <c r="B5" s="230" t="s">
        <v>4</v>
      </c>
      <c r="C5" s="230" t="s">
        <v>3</v>
      </c>
      <c r="D5" s="230" t="s">
        <v>60</v>
      </c>
      <c r="E5" s="230" t="s">
        <v>2</v>
      </c>
      <c r="F5" s="230" t="s">
        <v>53</v>
      </c>
      <c r="G5" s="230" t="s">
        <v>58</v>
      </c>
      <c r="H5" s="230" t="s">
        <v>59</v>
      </c>
      <c r="I5" s="230" t="s">
        <v>8</v>
      </c>
      <c r="J5" s="230" t="s">
        <v>9</v>
      </c>
      <c r="K5" s="230" t="s">
        <v>10</v>
      </c>
      <c r="L5" s="230" t="s">
        <v>11</v>
      </c>
      <c r="M5" s="232" t="s">
        <v>55</v>
      </c>
      <c r="N5" s="231" t="s">
        <v>12</v>
      </c>
      <c r="O5" s="231" t="s">
        <v>50</v>
      </c>
      <c r="P5" s="233" t="s">
        <v>1</v>
      </c>
      <c r="Q5" s="231" t="s">
        <v>13</v>
      </c>
      <c r="R5" s="231" t="s">
        <v>14</v>
      </c>
      <c r="S5" s="231" t="s">
        <v>16</v>
      </c>
      <c r="T5" s="231" t="s">
        <v>15</v>
      </c>
      <c r="U5" s="231" t="s">
        <v>56</v>
      </c>
      <c r="V5" s="233" t="s">
        <v>6</v>
      </c>
      <c r="W5" s="233" t="s">
        <v>7</v>
      </c>
      <c r="X5" s="231" t="s">
        <v>0</v>
      </c>
      <c r="Y5" s="232" t="s">
        <v>54</v>
      </c>
    </row>
    <row r="6" spans="1:25" ht="42.75" customHeight="1" x14ac:dyDescent="0.25">
      <c r="A6" s="230"/>
      <c r="B6" s="230"/>
      <c r="C6" s="230"/>
      <c r="D6" s="230"/>
      <c r="E6" s="230"/>
      <c r="F6" s="230"/>
      <c r="G6" s="230"/>
      <c r="H6" s="230"/>
      <c r="I6" s="230"/>
      <c r="J6" s="230"/>
      <c r="K6" s="230"/>
      <c r="L6" s="230"/>
      <c r="M6" s="232"/>
      <c r="N6" s="231"/>
      <c r="O6" s="231"/>
      <c r="P6" s="233"/>
      <c r="Q6" s="231"/>
      <c r="R6" s="231"/>
      <c r="S6" s="231"/>
      <c r="T6" s="231"/>
      <c r="U6" s="231"/>
      <c r="V6" s="233"/>
      <c r="W6" s="233"/>
      <c r="X6" s="231"/>
      <c r="Y6" s="232"/>
    </row>
    <row r="7" spans="1:25" x14ac:dyDescent="0.25">
      <c r="A7" s="172"/>
      <c r="B7" s="173">
        <v>51</v>
      </c>
      <c r="C7" s="173" t="s">
        <v>61</v>
      </c>
      <c r="D7" s="174" t="s">
        <v>80</v>
      </c>
      <c r="E7" s="175"/>
      <c r="F7" s="172"/>
      <c r="G7" s="172"/>
      <c r="H7" s="173"/>
      <c r="I7" s="176"/>
      <c r="J7" s="176"/>
      <c r="K7" s="173"/>
      <c r="L7" s="173"/>
      <c r="M7" s="177"/>
      <c r="N7" s="178"/>
      <c r="O7" s="179"/>
      <c r="P7" s="180"/>
      <c r="Q7" s="180"/>
      <c r="R7" s="180"/>
      <c r="S7" s="180"/>
      <c r="T7" s="180"/>
      <c r="U7" s="180"/>
      <c r="V7" s="180"/>
      <c r="W7" s="180"/>
      <c r="X7" s="180"/>
      <c r="Y7" s="181"/>
    </row>
    <row r="8" spans="1:25" x14ac:dyDescent="0.25">
      <c r="A8" s="182"/>
      <c r="B8" s="183">
        <v>5101</v>
      </c>
      <c r="C8" s="183" t="s">
        <v>62</v>
      </c>
      <c r="D8" s="184" t="s">
        <v>81</v>
      </c>
      <c r="E8" s="184"/>
      <c r="F8" s="182"/>
      <c r="G8" s="182"/>
      <c r="H8" s="183"/>
      <c r="I8" s="185"/>
      <c r="J8" s="185"/>
      <c r="K8" s="183"/>
      <c r="L8" s="183"/>
      <c r="M8" s="166"/>
      <c r="N8" s="165"/>
      <c r="O8" s="124"/>
      <c r="P8" s="167"/>
      <c r="Q8" s="167"/>
      <c r="R8" s="167"/>
      <c r="S8" s="167"/>
      <c r="T8" s="167"/>
      <c r="U8" s="167"/>
      <c r="V8" s="167"/>
      <c r="W8" s="167"/>
      <c r="X8" s="167"/>
      <c r="Y8" s="169"/>
    </row>
    <row r="9" spans="1:25" x14ac:dyDescent="0.25">
      <c r="A9" s="168"/>
      <c r="B9" s="186">
        <v>5101001</v>
      </c>
      <c r="C9" s="186" t="s">
        <v>63</v>
      </c>
      <c r="D9" s="187" t="s">
        <v>82</v>
      </c>
      <c r="E9" s="187"/>
      <c r="F9" s="168"/>
      <c r="G9" s="186"/>
      <c r="H9" s="186"/>
      <c r="I9" s="187"/>
      <c r="J9" s="187"/>
      <c r="K9" s="186"/>
      <c r="L9" s="186"/>
      <c r="M9" s="166"/>
      <c r="N9" s="188"/>
      <c r="O9" s="163"/>
      <c r="P9" s="164"/>
      <c r="Q9" s="167"/>
      <c r="R9" s="167"/>
      <c r="S9" s="167"/>
      <c r="T9" s="167"/>
      <c r="U9" s="167"/>
      <c r="V9" s="167"/>
      <c r="W9" s="167"/>
      <c r="X9" s="167"/>
      <c r="Y9" s="169"/>
    </row>
    <row r="10" spans="1:25" x14ac:dyDescent="0.25">
      <c r="A10" s="167"/>
      <c r="B10" s="169">
        <v>51010010043</v>
      </c>
      <c r="C10" s="169" t="s">
        <v>64</v>
      </c>
      <c r="D10" s="123" t="s">
        <v>83</v>
      </c>
      <c r="E10" s="123"/>
      <c r="F10" s="169"/>
      <c r="G10" s="122"/>
      <c r="H10" s="122"/>
      <c r="I10" s="123"/>
      <c r="J10" s="123"/>
      <c r="K10" s="122"/>
      <c r="L10" s="122"/>
      <c r="M10" s="166"/>
      <c r="N10" s="171"/>
      <c r="O10" s="125"/>
      <c r="P10" s="164"/>
      <c r="Q10" s="167"/>
      <c r="R10" s="167"/>
      <c r="S10" s="167"/>
      <c r="T10" s="170"/>
      <c r="U10" s="170"/>
      <c r="V10" s="189"/>
      <c r="W10" s="189"/>
      <c r="X10" s="167"/>
      <c r="Y10" s="169"/>
    </row>
    <row r="11" spans="1:25" x14ac:dyDescent="0.25">
      <c r="A11" s="236">
        <v>4132</v>
      </c>
      <c r="B11" s="236"/>
      <c r="C11" s="237" t="s">
        <v>67</v>
      </c>
      <c r="D11" s="238" t="s">
        <v>85</v>
      </c>
      <c r="E11" s="50" t="s">
        <v>84</v>
      </c>
      <c r="F11" s="64"/>
      <c r="G11" s="51"/>
      <c r="H11" s="64"/>
      <c r="I11" s="98"/>
      <c r="J11" s="98"/>
      <c r="K11" s="64">
        <f>K12</f>
        <v>1500</v>
      </c>
      <c r="L11" s="130">
        <f>+L12</f>
        <v>1</v>
      </c>
      <c r="M11" s="115">
        <f>M12</f>
        <v>760</v>
      </c>
      <c r="N11" s="69">
        <f>N12</f>
        <v>0.50600000000000001</v>
      </c>
      <c r="O11" s="253">
        <f>IF(Q11&gt;0,N11,"NA")</f>
        <v>0.50600000000000001</v>
      </c>
      <c r="P11" s="96">
        <f>P12</f>
        <v>167640000</v>
      </c>
      <c r="Q11" s="96">
        <f>Q12</f>
        <v>746303178</v>
      </c>
      <c r="R11" s="96">
        <f>R12</f>
        <v>37805500</v>
      </c>
      <c r="S11" s="96">
        <f>S12</f>
        <v>19576500</v>
      </c>
      <c r="T11" s="53">
        <f>+IF(Q11=0,0,R11/Q11)</f>
        <v>5.0657026680918142E-2</v>
      </c>
      <c r="U11" s="53">
        <f>+IF(R11=0,0,S11/R11)</f>
        <v>0.51782148100144154</v>
      </c>
      <c r="V11" s="134"/>
      <c r="W11" s="116"/>
      <c r="X11" s="51"/>
      <c r="Y11" s="241" t="s">
        <v>87</v>
      </c>
    </row>
    <row r="12" spans="1:25" ht="121.5" x14ac:dyDescent="0.25">
      <c r="A12" s="236"/>
      <c r="B12" s="236"/>
      <c r="C12" s="237"/>
      <c r="D12" s="238"/>
      <c r="E12" s="98" t="s">
        <v>200</v>
      </c>
      <c r="F12" s="63"/>
      <c r="G12" s="80" t="s">
        <v>83</v>
      </c>
      <c r="H12" s="64"/>
      <c r="I12" s="80" t="s">
        <v>235</v>
      </c>
      <c r="J12" s="80" t="s">
        <v>86</v>
      </c>
      <c r="K12" s="63">
        <v>1500</v>
      </c>
      <c r="L12" s="130">
        <v>1</v>
      </c>
      <c r="M12" s="128">
        <v>760</v>
      </c>
      <c r="N12" s="69">
        <v>0.50600000000000001</v>
      </c>
      <c r="O12" s="255"/>
      <c r="P12" s="96">
        <v>167640000</v>
      </c>
      <c r="Q12" s="96">
        <v>746303178</v>
      </c>
      <c r="R12" s="96">
        <v>37805500</v>
      </c>
      <c r="S12" s="96">
        <v>19576500</v>
      </c>
      <c r="T12" s="53">
        <f>+IF(Q12=0,0,R12/Q12)</f>
        <v>5.0657026680918142E-2</v>
      </c>
      <c r="U12" s="53">
        <f>+IF(R12=0,0,S12/R12)</f>
        <v>0.51782148100144154</v>
      </c>
      <c r="V12" s="210">
        <v>45325</v>
      </c>
      <c r="W12" s="211">
        <v>45473</v>
      </c>
      <c r="X12" s="118" t="s">
        <v>277</v>
      </c>
      <c r="Y12" s="242"/>
    </row>
    <row r="13" spans="1:25" x14ac:dyDescent="0.25">
      <c r="A13" s="167"/>
      <c r="B13" s="169">
        <v>51010010049</v>
      </c>
      <c r="C13" s="169" t="s">
        <v>64</v>
      </c>
      <c r="D13" s="123" t="s">
        <v>88</v>
      </c>
      <c r="E13" s="73"/>
      <c r="F13" s="48"/>
      <c r="G13" s="81"/>
      <c r="H13" s="81"/>
      <c r="I13" s="73"/>
      <c r="J13" s="73"/>
      <c r="K13" s="81"/>
      <c r="L13" s="81"/>
      <c r="M13" s="54"/>
      <c r="N13" s="135"/>
      <c r="O13" s="136"/>
      <c r="P13" s="62"/>
      <c r="Q13" s="62"/>
      <c r="R13" s="62"/>
      <c r="S13" s="62"/>
      <c r="T13" s="114"/>
      <c r="U13" s="114"/>
      <c r="V13" s="137"/>
      <c r="W13" s="137"/>
      <c r="X13" s="62"/>
      <c r="Y13" s="48"/>
    </row>
    <row r="14" spans="1:25" x14ac:dyDescent="0.25">
      <c r="A14" s="236">
        <v>4132</v>
      </c>
      <c r="B14" s="237"/>
      <c r="C14" s="237" t="s">
        <v>67</v>
      </c>
      <c r="D14" s="238" t="s">
        <v>236</v>
      </c>
      <c r="E14" s="50" t="s">
        <v>89</v>
      </c>
      <c r="F14" s="63"/>
      <c r="G14" s="80"/>
      <c r="H14" s="63"/>
      <c r="I14" s="80"/>
      <c r="J14" s="80"/>
      <c r="K14" s="63">
        <f>+K16</f>
        <v>1</v>
      </c>
      <c r="L14" s="130">
        <f>+L15+L16</f>
        <v>1</v>
      </c>
      <c r="M14" s="115">
        <f>M15</f>
        <v>0</v>
      </c>
      <c r="N14" s="69">
        <f>N15+N16</f>
        <v>0</v>
      </c>
      <c r="O14" s="253">
        <f>IF(Q14&gt;0,N14,"na")</f>
        <v>0</v>
      </c>
      <c r="P14" s="96">
        <f>P15+P16</f>
        <v>450000000</v>
      </c>
      <c r="Q14" s="96">
        <f>Q15+Q16</f>
        <v>450000000</v>
      </c>
      <c r="R14" s="96">
        <f>R15+R16</f>
        <v>230452500</v>
      </c>
      <c r="S14" s="96">
        <f>S15+S16</f>
        <v>112261500</v>
      </c>
      <c r="T14" s="53">
        <f t="shared" ref="T14:U16" si="0">+IF(Q14=0,0,R14/Q14)</f>
        <v>0.51211666666666666</v>
      </c>
      <c r="U14" s="53">
        <f t="shared" si="0"/>
        <v>0.48713509291502588</v>
      </c>
      <c r="V14" s="134"/>
      <c r="W14" s="116"/>
      <c r="X14" s="62"/>
      <c r="Y14" s="241" t="s">
        <v>87</v>
      </c>
    </row>
    <row r="15" spans="1:25" ht="54" x14ac:dyDescent="0.25">
      <c r="A15" s="236"/>
      <c r="B15" s="237"/>
      <c r="C15" s="237"/>
      <c r="D15" s="238"/>
      <c r="E15" s="98" t="s">
        <v>201</v>
      </c>
      <c r="F15" s="257"/>
      <c r="G15" s="80"/>
      <c r="H15" s="63"/>
      <c r="I15" s="80" t="s">
        <v>90</v>
      </c>
      <c r="J15" s="66" t="s">
        <v>91</v>
      </c>
      <c r="K15" s="88">
        <v>1</v>
      </c>
      <c r="L15" s="130">
        <v>0.17</v>
      </c>
      <c r="M15" s="54">
        <v>0</v>
      </c>
      <c r="N15" s="69">
        <v>0</v>
      </c>
      <c r="O15" s="254"/>
      <c r="P15" s="96">
        <v>141512000</v>
      </c>
      <c r="Q15" s="96">
        <v>141512000</v>
      </c>
      <c r="R15" s="96">
        <v>0</v>
      </c>
      <c r="S15" s="96">
        <v>0</v>
      </c>
      <c r="T15" s="53">
        <f t="shared" si="0"/>
        <v>0</v>
      </c>
      <c r="U15" s="53">
        <f t="shared" si="0"/>
        <v>0</v>
      </c>
      <c r="V15" s="129"/>
      <c r="W15" s="129"/>
      <c r="X15" s="111"/>
      <c r="Y15" s="242"/>
    </row>
    <row r="16" spans="1:25" ht="54" x14ac:dyDescent="0.25">
      <c r="A16" s="236"/>
      <c r="B16" s="237"/>
      <c r="C16" s="237"/>
      <c r="D16" s="238"/>
      <c r="E16" s="98" t="s">
        <v>202</v>
      </c>
      <c r="F16" s="242"/>
      <c r="G16" s="80" t="s">
        <v>92</v>
      </c>
      <c r="H16" s="63"/>
      <c r="I16" s="80" t="s">
        <v>93</v>
      </c>
      <c r="J16" s="66" t="s">
        <v>78</v>
      </c>
      <c r="K16" s="88">
        <v>1</v>
      </c>
      <c r="L16" s="130">
        <v>0.83</v>
      </c>
      <c r="M16" s="54">
        <v>0</v>
      </c>
      <c r="N16" s="69">
        <v>0</v>
      </c>
      <c r="O16" s="255"/>
      <c r="P16" s="96">
        <v>308488000</v>
      </c>
      <c r="Q16" s="96">
        <v>308488000</v>
      </c>
      <c r="R16" s="96">
        <v>230452500</v>
      </c>
      <c r="S16" s="96">
        <v>112261500</v>
      </c>
      <c r="T16" s="53">
        <f t="shared" si="0"/>
        <v>0.74703878270791735</v>
      </c>
      <c r="U16" s="53">
        <f t="shared" si="0"/>
        <v>0.48713509291502588</v>
      </c>
      <c r="V16" s="129">
        <v>45328</v>
      </c>
      <c r="W16" s="129">
        <v>45657</v>
      </c>
      <c r="X16" s="190" t="s">
        <v>278</v>
      </c>
      <c r="Y16" s="242"/>
    </row>
    <row r="17" spans="1:25" x14ac:dyDescent="0.25">
      <c r="A17" s="182"/>
      <c r="B17" s="183">
        <v>52</v>
      </c>
      <c r="C17" s="183" t="s">
        <v>61</v>
      </c>
      <c r="D17" s="185" t="s">
        <v>94</v>
      </c>
      <c r="E17" s="58"/>
      <c r="F17" s="56"/>
      <c r="G17" s="56"/>
      <c r="H17" s="57"/>
      <c r="I17" s="91"/>
      <c r="J17" s="91"/>
      <c r="K17" s="57"/>
      <c r="L17" s="57"/>
      <c r="M17" s="62"/>
      <c r="N17" s="138"/>
      <c r="O17" s="53"/>
      <c r="P17" s="62"/>
      <c r="Q17" s="62"/>
      <c r="R17" s="62"/>
      <c r="S17" s="62"/>
      <c r="T17" s="114"/>
      <c r="U17" s="114"/>
      <c r="V17" s="139"/>
      <c r="W17" s="139"/>
      <c r="X17" s="62"/>
      <c r="Y17" s="48"/>
    </row>
    <row r="18" spans="1:25" x14ac:dyDescent="0.25">
      <c r="A18" s="182"/>
      <c r="B18" s="183">
        <v>5203</v>
      </c>
      <c r="C18" s="183" t="s">
        <v>62</v>
      </c>
      <c r="D18" s="184" t="s">
        <v>95</v>
      </c>
      <c r="E18" s="58"/>
      <c r="F18" s="56"/>
      <c r="G18" s="56"/>
      <c r="H18" s="57"/>
      <c r="I18" s="91"/>
      <c r="J18" s="91"/>
      <c r="K18" s="57"/>
      <c r="L18" s="57"/>
      <c r="M18" s="62"/>
      <c r="N18" s="138"/>
      <c r="O18" s="53"/>
      <c r="P18" s="62"/>
      <c r="Q18" s="62"/>
      <c r="R18" s="62"/>
      <c r="S18" s="62"/>
      <c r="T18" s="114"/>
      <c r="U18" s="114"/>
      <c r="V18" s="139"/>
      <c r="W18" s="139"/>
      <c r="X18" s="62"/>
      <c r="Y18" s="48"/>
    </row>
    <row r="19" spans="1:25" x14ac:dyDescent="0.25">
      <c r="A19" s="168"/>
      <c r="B19" s="186">
        <v>5203007</v>
      </c>
      <c r="C19" s="186" t="s">
        <v>63</v>
      </c>
      <c r="D19" s="187" t="s">
        <v>96</v>
      </c>
      <c r="E19" s="61"/>
      <c r="F19" s="60"/>
      <c r="G19" s="92"/>
      <c r="H19" s="92"/>
      <c r="I19" s="61"/>
      <c r="J19" s="61"/>
      <c r="K19" s="92"/>
      <c r="L19" s="92"/>
      <c r="M19" s="62"/>
      <c r="N19" s="138"/>
      <c r="O19" s="53"/>
      <c r="P19" s="62"/>
      <c r="Q19" s="62"/>
      <c r="R19" s="62"/>
      <c r="S19" s="62"/>
      <c r="T19" s="114"/>
      <c r="U19" s="114"/>
      <c r="V19" s="121"/>
      <c r="W19" s="121"/>
      <c r="X19" s="62"/>
      <c r="Y19" s="48"/>
    </row>
    <row r="20" spans="1:25" x14ac:dyDescent="0.25">
      <c r="A20" s="167"/>
      <c r="B20" s="169">
        <v>52030070008</v>
      </c>
      <c r="C20" s="169" t="s">
        <v>64</v>
      </c>
      <c r="D20" s="123" t="s">
        <v>97</v>
      </c>
      <c r="E20" s="81"/>
      <c r="F20" s="48"/>
      <c r="G20" s="81"/>
      <c r="H20" s="81"/>
      <c r="I20" s="73"/>
      <c r="J20" s="73"/>
      <c r="K20" s="81"/>
      <c r="L20" s="81"/>
      <c r="M20" s="62"/>
      <c r="N20" s="138"/>
      <c r="O20" s="53"/>
      <c r="P20" s="62"/>
      <c r="Q20" s="62"/>
      <c r="R20" s="62"/>
      <c r="S20" s="62"/>
      <c r="T20" s="114"/>
      <c r="U20" s="114"/>
      <c r="V20" s="137"/>
      <c r="W20" s="137"/>
      <c r="X20" s="62"/>
      <c r="Y20" s="48"/>
    </row>
    <row r="21" spans="1:25" x14ac:dyDescent="0.25">
      <c r="A21" s="236">
        <v>4132</v>
      </c>
      <c r="B21" s="237"/>
      <c r="C21" s="237" t="s">
        <v>67</v>
      </c>
      <c r="D21" s="238" t="s">
        <v>279</v>
      </c>
      <c r="E21" s="88" t="s">
        <v>280</v>
      </c>
      <c r="F21" s="128"/>
      <c r="G21" s="51"/>
      <c r="H21" s="63"/>
      <c r="I21" s="80"/>
      <c r="J21" s="80"/>
      <c r="K21" s="63">
        <f>K22</f>
        <v>40</v>
      </c>
      <c r="L21" s="130">
        <f>+L22</f>
        <v>1</v>
      </c>
      <c r="M21" s="115">
        <f>M22</f>
        <v>2</v>
      </c>
      <c r="N21" s="69">
        <f>N22</f>
        <v>0.05</v>
      </c>
      <c r="O21" s="253">
        <f>IF(Q21&gt;0,N21,"NA")</f>
        <v>0.05</v>
      </c>
      <c r="P21" s="96">
        <f>P22</f>
        <v>1850000000</v>
      </c>
      <c r="Q21" s="96">
        <f>Q22</f>
        <v>1850000000</v>
      </c>
      <c r="R21" s="96">
        <f>R22</f>
        <v>252625000</v>
      </c>
      <c r="S21" s="96">
        <f>S22</f>
        <v>90069500</v>
      </c>
      <c r="T21" s="53">
        <f>+IF(Q21=0,0,R21/Q21)</f>
        <v>0.13655405405405405</v>
      </c>
      <c r="U21" s="53">
        <f>+IF(R21=0,0,S21/R21)</f>
        <v>0.35653438891637801</v>
      </c>
      <c r="V21" s="134"/>
      <c r="W21" s="116"/>
      <c r="X21" s="62"/>
      <c r="Y21" s="241" t="s">
        <v>87</v>
      </c>
    </row>
    <row r="22" spans="1:25" ht="135" x14ac:dyDescent="0.25">
      <c r="A22" s="236"/>
      <c r="B22" s="237"/>
      <c r="C22" s="237"/>
      <c r="D22" s="238"/>
      <c r="E22" s="50" t="s">
        <v>281</v>
      </c>
      <c r="F22" s="128"/>
      <c r="G22" s="66" t="s">
        <v>97</v>
      </c>
      <c r="H22" s="63"/>
      <c r="I22" s="80" t="s">
        <v>282</v>
      </c>
      <c r="J22" s="80" t="s">
        <v>98</v>
      </c>
      <c r="K22" s="63">
        <v>40</v>
      </c>
      <c r="L22" s="130">
        <v>1</v>
      </c>
      <c r="M22" s="128">
        <v>2</v>
      </c>
      <c r="N22" s="69">
        <v>0.05</v>
      </c>
      <c r="O22" s="255"/>
      <c r="P22" s="96">
        <v>1850000000</v>
      </c>
      <c r="Q22" s="96">
        <v>1850000000</v>
      </c>
      <c r="R22" s="96">
        <v>252625000</v>
      </c>
      <c r="S22" s="96">
        <v>90069500</v>
      </c>
      <c r="T22" s="53">
        <f>+IF(Q22=0,0,R22/Q22)</f>
        <v>0.13655405405405405</v>
      </c>
      <c r="U22" s="53">
        <f>+IF(R22=0,0,S22/R22)</f>
        <v>0.35653438891637801</v>
      </c>
      <c r="V22" s="210">
        <v>45339</v>
      </c>
      <c r="W22" s="211">
        <v>45657</v>
      </c>
      <c r="X22" s="111" t="s">
        <v>283</v>
      </c>
      <c r="Y22" s="242"/>
    </row>
    <row r="23" spans="1:25" x14ac:dyDescent="0.25">
      <c r="A23" s="236">
        <v>4132</v>
      </c>
      <c r="B23" s="122">
        <v>52030070010</v>
      </c>
      <c r="C23" s="122" t="s">
        <v>64</v>
      </c>
      <c r="D23" s="123" t="s">
        <v>99</v>
      </c>
      <c r="E23" s="99"/>
      <c r="F23" s="65"/>
      <c r="G23" s="49"/>
      <c r="H23" s="62"/>
      <c r="I23" s="140"/>
      <c r="J23" s="140"/>
      <c r="K23" s="48"/>
      <c r="L23" s="62"/>
      <c r="M23" s="62"/>
      <c r="N23" s="138"/>
      <c r="O23" s="53"/>
      <c r="P23" s="62"/>
      <c r="Q23" s="62"/>
      <c r="R23" s="62"/>
      <c r="S23" s="62"/>
      <c r="T23" s="114"/>
      <c r="U23" s="114"/>
      <c r="V23" s="141"/>
      <c r="W23" s="141"/>
      <c r="X23" s="62"/>
      <c r="Y23" s="48"/>
    </row>
    <row r="24" spans="1:25" x14ac:dyDescent="0.25">
      <c r="A24" s="236"/>
      <c r="B24" s="236"/>
      <c r="C24" s="236" t="s">
        <v>67</v>
      </c>
      <c r="D24" s="238" t="s">
        <v>237</v>
      </c>
      <c r="E24" s="50" t="s">
        <v>100</v>
      </c>
      <c r="F24" s="63"/>
      <c r="G24" s="66"/>
      <c r="H24" s="63"/>
      <c r="I24" s="142"/>
      <c r="J24" s="142"/>
      <c r="K24" s="64">
        <f>K25</f>
        <v>2</v>
      </c>
      <c r="L24" s="130">
        <f>+L25</f>
        <v>1</v>
      </c>
      <c r="M24" s="115">
        <f>M25</f>
        <v>0</v>
      </c>
      <c r="N24" s="69">
        <f>N25</f>
        <v>2E-3</v>
      </c>
      <c r="O24" s="253">
        <f>IF(Q24&gt;0,N24,"NA")</f>
        <v>2E-3</v>
      </c>
      <c r="P24" s="96">
        <f>P25</f>
        <v>350000000</v>
      </c>
      <c r="Q24" s="96">
        <f>Q25</f>
        <v>350000000</v>
      </c>
      <c r="R24" s="96">
        <f>R25</f>
        <v>15693000</v>
      </c>
      <c r="S24" s="96">
        <f>S25</f>
        <v>5231000</v>
      </c>
      <c r="T24" s="53">
        <f>+IF(Q24=0,0,R24/Q24)</f>
        <v>4.483714285714286E-2</v>
      </c>
      <c r="U24" s="53">
        <f>+IF(R24=0,0,S24/R24)</f>
        <v>0.33333333333333331</v>
      </c>
      <c r="V24" s="134"/>
      <c r="W24" s="116"/>
      <c r="X24" s="62"/>
      <c r="Y24" s="241" t="s">
        <v>101</v>
      </c>
    </row>
    <row r="25" spans="1:25" ht="67.5" x14ac:dyDescent="0.25">
      <c r="A25" s="236"/>
      <c r="B25" s="236"/>
      <c r="C25" s="236"/>
      <c r="D25" s="238"/>
      <c r="E25" s="98" t="s">
        <v>203</v>
      </c>
      <c r="F25" s="63"/>
      <c r="G25" s="80" t="s">
        <v>99</v>
      </c>
      <c r="H25" s="63"/>
      <c r="I25" s="142" t="s">
        <v>238</v>
      </c>
      <c r="J25" s="142" t="s">
        <v>102</v>
      </c>
      <c r="K25" s="63">
        <v>2</v>
      </c>
      <c r="L25" s="130">
        <v>1</v>
      </c>
      <c r="M25" s="128">
        <v>0</v>
      </c>
      <c r="N25" s="69">
        <v>2E-3</v>
      </c>
      <c r="O25" s="255"/>
      <c r="P25" s="96">
        <v>350000000</v>
      </c>
      <c r="Q25" s="96">
        <v>350000000</v>
      </c>
      <c r="R25" s="96">
        <v>15693000</v>
      </c>
      <c r="S25" s="96">
        <v>5231000</v>
      </c>
      <c r="T25" s="53">
        <f>+IF(Q25=0,0,R25/Q25)</f>
        <v>4.483714285714286E-2</v>
      </c>
      <c r="U25" s="53">
        <f>+IF(R25=0,0,S25/R25)</f>
        <v>0.33333333333333331</v>
      </c>
      <c r="V25" s="210">
        <v>45342</v>
      </c>
      <c r="W25" s="211">
        <v>45657</v>
      </c>
      <c r="X25" s="191" t="s">
        <v>284</v>
      </c>
      <c r="Y25" s="242"/>
    </row>
    <row r="26" spans="1:25" x14ac:dyDescent="0.25">
      <c r="A26" s="167"/>
      <c r="B26" s="169">
        <v>52030070012</v>
      </c>
      <c r="C26" s="169" t="s">
        <v>64</v>
      </c>
      <c r="D26" s="123" t="s">
        <v>103</v>
      </c>
      <c r="E26" s="73"/>
      <c r="F26" s="48"/>
      <c r="G26" s="81"/>
      <c r="H26" s="81"/>
      <c r="I26" s="73"/>
      <c r="J26" s="73"/>
      <c r="K26" s="81"/>
      <c r="L26" s="81"/>
      <c r="M26" s="62"/>
      <c r="N26" s="138"/>
      <c r="O26" s="53"/>
      <c r="P26" s="62"/>
      <c r="Q26" s="62"/>
      <c r="R26" s="62"/>
      <c r="S26" s="62"/>
      <c r="T26" s="114"/>
      <c r="U26" s="114"/>
      <c r="V26" s="212"/>
      <c r="W26" s="212"/>
      <c r="X26" s="62"/>
      <c r="Y26" s="48"/>
    </row>
    <row r="27" spans="1:25" x14ac:dyDescent="0.25">
      <c r="A27" s="236">
        <v>4132</v>
      </c>
      <c r="B27" s="237"/>
      <c r="C27" s="237" t="s">
        <v>67</v>
      </c>
      <c r="D27" s="238" t="s">
        <v>105</v>
      </c>
      <c r="E27" s="88" t="s">
        <v>104</v>
      </c>
      <c r="F27" s="63"/>
      <c r="G27" s="80"/>
      <c r="H27" s="63"/>
      <c r="I27" s="80"/>
      <c r="J27" s="80"/>
      <c r="K27" s="63">
        <f>+K28</f>
        <v>1</v>
      </c>
      <c r="L27" s="130">
        <f>L28</f>
        <v>1</v>
      </c>
      <c r="M27" s="115">
        <f>M28</f>
        <v>0</v>
      </c>
      <c r="N27" s="69">
        <f>N28</f>
        <v>8.5999999999999993E-2</v>
      </c>
      <c r="O27" s="253">
        <f>IF(Q27&gt;0,N27,"NA")</f>
        <v>8.5999999999999993E-2</v>
      </c>
      <c r="P27" s="96">
        <f>P28</f>
        <v>350000000</v>
      </c>
      <c r="Q27" s="96">
        <f>Q28</f>
        <v>350000000</v>
      </c>
      <c r="R27" s="96">
        <f>R28</f>
        <v>81050500</v>
      </c>
      <c r="S27" s="96">
        <f>S28</f>
        <v>39169500</v>
      </c>
      <c r="T27" s="53">
        <f>+IF(Q27=0,0,R27/Q27)</f>
        <v>0.23157285714285714</v>
      </c>
      <c r="U27" s="53">
        <f>+IF(R27=0,0,S27/R27)</f>
        <v>0.4832727743814042</v>
      </c>
      <c r="V27" s="210"/>
      <c r="W27" s="211"/>
      <c r="X27" s="62"/>
      <c r="Y27" s="241" t="s">
        <v>87</v>
      </c>
    </row>
    <row r="28" spans="1:25" ht="121.5" x14ac:dyDescent="0.25">
      <c r="A28" s="236"/>
      <c r="B28" s="237"/>
      <c r="C28" s="237"/>
      <c r="D28" s="238"/>
      <c r="E28" s="98" t="s">
        <v>204</v>
      </c>
      <c r="F28" s="63"/>
      <c r="G28" s="80" t="s">
        <v>103</v>
      </c>
      <c r="H28" s="63"/>
      <c r="I28" s="80" t="s">
        <v>239</v>
      </c>
      <c r="J28" s="80" t="s">
        <v>106</v>
      </c>
      <c r="K28" s="63">
        <v>1</v>
      </c>
      <c r="L28" s="130">
        <v>1</v>
      </c>
      <c r="M28" s="128">
        <v>0</v>
      </c>
      <c r="N28" s="69">
        <v>8.5999999999999993E-2</v>
      </c>
      <c r="O28" s="255"/>
      <c r="P28" s="96">
        <v>350000000</v>
      </c>
      <c r="Q28" s="96">
        <v>350000000</v>
      </c>
      <c r="R28" s="96">
        <v>81050500</v>
      </c>
      <c r="S28" s="96">
        <v>39169500</v>
      </c>
      <c r="T28" s="53">
        <f>+IF(Q28=0,0,R28/Q28)</f>
        <v>0.23157285714285714</v>
      </c>
      <c r="U28" s="53">
        <f>+IF(R28=0,0,S28/R28)</f>
        <v>0.4832727743814042</v>
      </c>
      <c r="V28" s="210">
        <v>45343</v>
      </c>
      <c r="W28" s="211">
        <v>45657</v>
      </c>
      <c r="X28" s="118" t="s">
        <v>285</v>
      </c>
      <c r="Y28" s="242"/>
    </row>
    <row r="29" spans="1:25" x14ac:dyDescent="0.25">
      <c r="A29" s="192"/>
      <c r="B29" s="186">
        <v>5203008</v>
      </c>
      <c r="C29" s="186" t="s">
        <v>63</v>
      </c>
      <c r="D29" s="187" t="s">
        <v>107</v>
      </c>
      <c r="E29" s="100"/>
      <c r="F29" s="143"/>
      <c r="G29" s="67"/>
      <c r="H29" s="144"/>
      <c r="I29" s="145"/>
      <c r="J29" s="145"/>
      <c r="K29" s="146"/>
      <c r="L29" s="147"/>
      <c r="M29" s="62"/>
      <c r="N29" s="138"/>
      <c r="O29" s="53"/>
      <c r="P29" s="62"/>
      <c r="Q29" s="62"/>
      <c r="R29" s="62"/>
      <c r="S29" s="62"/>
      <c r="T29" s="114"/>
      <c r="U29" s="114"/>
      <c r="V29" s="156"/>
      <c r="W29" s="156"/>
      <c r="X29" s="62"/>
      <c r="Y29" s="48"/>
    </row>
    <row r="30" spans="1:25" x14ac:dyDescent="0.25">
      <c r="A30" s="167"/>
      <c r="B30" s="169">
        <v>52030080010</v>
      </c>
      <c r="C30" s="169" t="s">
        <v>64</v>
      </c>
      <c r="D30" s="123" t="s">
        <v>108</v>
      </c>
      <c r="E30" s="73"/>
      <c r="F30" s="48"/>
      <c r="G30" s="81"/>
      <c r="H30" s="81"/>
      <c r="I30" s="73"/>
      <c r="J30" s="73"/>
      <c r="K30" s="81"/>
      <c r="L30" s="81"/>
      <c r="M30" s="62"/>
      <c r="N30" s="138"/>
      <c r="O30" s="53"/>
      <c r="P30" s="62"/>
      <c r="Q30" s="62"/>
      <c r="R30" s="62"/>
      <c r="S30" s="62"/>
      <c r="T30" s="114"/>
      <c r="U30" s="114"/>
      <c r="V30" s="212"/>
      <c r="W30" s="212"/>
      <c r="X30" s="62"/>
      <c r="Y30" s="48"/>
    </row>
    <row r="31" spans="1:25" x14ac:dyDescent="0.25">
      <c r="A31" s="236">
        <v>4132</v>
      </c>
      <c r="B31" s="237"/>
      <c r="C31" s="236" t="s">
        <v>67</v>
      </c>
      <c r="D31" s="238" t="s">
        <v>109</v>
      </c>
      <c r="E31" s="50" t="s">
        <v>110</v>
      </c>
      <c r="F31" s="63"/>
      <c r="G31" s="80"/>
      <c r="H31" s="63"/>
      <c r="I31" s="142"/>
      <c r="J31" s="142"/>
      <c r="K31" s="64">
        <f>K32</f>
        <v>1</v>
      </c>
      <c r="L31" s="127">
        <f>L32</f>
        <v>1</v>
      </c>
      <c r="M31" s="115">
        <f>M32</f>
        <v>0</v>
      </c>
      <c r="N31" s="69">
        <f>N32</f>
        <v>2E-3</v>
      </c>
      <c r="O31" s="253">
        <f>IF(Q31&gt;0,N31,"NA")</f>
        <v>2E-3</v>
      </c>
      <c r="P31" s="96">
        <f>P32</f>
        <v>350000000</v>
      </c>
      <c r="Q31" s="96">
        <f>Q32</f>
        <v>350000000</v>
      </c>
      <c r="R31" s="96">
        <f>R32</f>
        <v>71427000</v>
      </c>
      <c r="S31" s="96">
        <f>S32</f>
        <v>29579000</v>
      </c>
      <c r="T31" s="53">
        <f>+IF(Q31=0,0,R31/Q31)</f>
        <v>0.20407714285714285</v>
      </c>
      <c r="U31" s="53">
        <f>+IF(R31=0,0,S31/R31)</f>
        <v>0.41411511053243172</v>
      </c>
      <c r="V31" s="210"/>
      <c r="W31" s="211"/>
      <c r="X31" s="62"/>
      <c r="Y31" s="241" t="s">
        <v>101</v>
      </c>
    </row>
    <row r="32" spans="1:25" ht="54" x14ac:dyDescent="0.25">
      <c r="A32" s="236"/>
      <c r="B32" s="237"/>
      <c r="C32" s="236"/>
      <c r="D32" s="238"/>
      <c r="E32" s="98" t="s">
        <v>205</v>
      </c>
      <c r="F32" s="63"/>
      <c r="G32" s="80" t="s">
        <v>108</v>
      </c>
      <c r="H32" s="63"/>
      <c r="I32" s="142" t="s">
        <v>286</v>
      </c>
      <c r="J32" s="142" t="s">
        <v>102</v>
      </c>
      <c r="K32" s="64">
        <v>1</v>
      </c>
      <c r="L32" s="127">
        <v>1</v>
      </c>
      <c r="M32" s="128">
        <v>0</v>
      </c>
      <c r="N32" s="69">
        <v>2E-3</v>
      </c>
      <c r="O32" s="255"/>
      <c r="P32" s="96">
        <v>350000000</v>
      </c>
      <c r="Q32" s="96">
        <v>350000000</v>
      </c>
      <c r="R32" s="96">
        <v>71427000</v>
      </c>
      <c r="S32" s="96">
        <v>29579000</v>
      </c>
      <c r="T32" s="53">
        <f>+IF(Q32=0,0,R32/Q32)</f>
        <v>0.20407714285714285</v>
      </c>
      <c r="U32" s="53">
        <f>+IF(R32=0,0,S32/R32)</f>
        <v>0.41411511053243172</v>
      </c>
      <c r="V32" s="210">
        <v>45342</v>
      </c>
      <c r="W32" s="211">
        <v>45657</v>
      </c>
      <c r="X32" s="193" t="s">
        <v>287</v>
      </c>
      <c r="Y32" s="242"/>
    </row>
    <row r="33" spans="1:25" x14ac:dyDescent="0.25">
      <c r="A33" s="192"/>
      <c r="B33" s="186">
        <v>5203009</v>
      </c>
      <c r="C33" s="186" t="s">
        <v>63</v>
      </c>
      <c r="D33" s="187" t="s">
        <v>111</v>
      </c>
      <c r="E33" s="61"/>
      <c r="F33" s="148"/>
      <c r="G33" s="61"/>
      <c r="H33" s="148"/>
      <c r="I33" s="61"/>
      <c r="J33" s="61"/>
      <c r="K33" s="148"/>
      <c r="L33" s="120"/>
      <c r="M33" s="62"/>
      <c r="N33" s="138"/>
      <c r="O33" s="53"/>
      <c r="P33" s="62"/>
      <c r="Q33" s="62"/>
      <c r="R33" s="62"/>
      <c r="S33" s="62"/>
      <c r="T33" s="114"/>
      <c r="U33" s="114"/>
      <c r="V33" s="149"/>
      <c r="W33" s="149"/>
      <c r="X33" s="62"/>
      <c r="Y33" s="48"/>
    </row>
    <row r="34" spans="1:25" x14ac:dyDescent="0.25">
      <c r="A34" s="167"/>
      <c r="B34" s="169">
        <v>52030090006</v>
      </c>
      <c r="C34" s="169" t="s">
        <v>64</v>
      </c>
      <c r="D34" s="123" t="s">
        <v>112</v>
      </c>
      <c r="E34" s="73"/>
      <c r="F34" s="48"/>
      <c r="G34" s="81"/>
      <c r="H34" s="81"/>
      <c r="I34" s="73"/>
      <c r="J34" s="73"/>
      <c r="K34" s="81"/>
      <c r="L34" s="81"/>
      <c r="M34" s="62"/>
      <c r="N34" s="138"/>
      <c r="O34" s="53"/>
      <c r="P34" s="62"/>
      <c r="Q34" s="62"/>
      <c r="R34" s="62"/>
      <c r="S34" s="62"/>
      <c r="T34" s="114"/>
      <c r="U34" s="114"/>
      <c r="V34" s="137"/>
      <c r="W34" s="137"/>
      <c r="X34" s="62"/>
      <c r="Y34" s="48"/>
    </row>
    <row r="35" spans="1:25" x14ac:dyDescent="0.25">
      <c r="A35" s="236">
        <v>4132</v>
      </c>
      <c r="B35" s="237"/>
      <c r="C35" s="237" t="s">
        <v>67</v>
      </c>
      <c r="D35" s="238" t="s">
        <v>113</v>
      </c>
      <c r="E35" s="88" t="s">
        <v>114</v>
      </c>
      <c r="F35" s="63"/>
      <c r="G35" s="80"/>
      <c r="H35" s="63"/>
      <c r="I35" s="80"/>
      <c r="J35" s="80"/>
      <c r="K35" s="63">
        <v>1</v>
      </c>
      <c r="L35" s="130">
        <f>L37</f>
        <v>0.5</v>
      </c>
      <c r="M35" s="115">
        <f>+M36+M37</f>
        <v>0</v>
      </c>
      <c r="N35" s="69">
        <f>+N36+N37</f>
        <v>1E-3</v>
      </c>
      <c r="O35" s="253">
        <f>IF(Q35&gt;0,N35,"NA")</f>
        <v>1E-3</v>
      </c>
      <c r="P35" s="96">
        <f>+P36+P37</f>
        <v>1500000000</v>
      </c>
      <c r="Q35" s="96">
        <f>+Q36+Q37</f>
        <v>1500000000</v>
      </c>
      <c r="R35" s="96">
        <f>+R36+R37</f>
        <v>52500000</v>
      </c>
      <c r="S35" s="96">
        <f>+S36+S37</f>
        <v>17500000</v>
      </c>
      <c r="T35" s="53">
        <f t="shared" ref="T35:U37" si="1">+IF(Q35=0,0,R35/Q35)</f>
        <v>3.5000000000000003E-2</v>
      </c>
      <c r="U35" s="53">
        <f t="shared" si="1"/>
        <v>0.33333333333333331</v>
      </c>
      <c r="V35" s="134"/>
      <c r="W35" s="116"/>
      <c r="X35" s="62"/>
      <c r="Y35" s="241" t="s">
        <v>101</v>
      </c>
    </row>
    <row r="36" spans="1:25" ht="81" x14ac:dyDescent="0.25">
      <c r="A36" s="236"/>
      <c r="B36" s="237"/>
      <c r="C36" s="237"/>
      <c r="D36" s="238"/>
      <c r="E36" s="88" t="s">
        <v>206</v>
      </c>
      <c r="F36" s="63"/>
      <c r="G36" s="80" t="s">
        <v>115</v>
      </c>
      <c r="H36" s="63"/>
      <c r="I36" s="80" t="s">
        <v>288</v>
      </c>
      <c r="J36" s="80" t="s">
        <v>116</v>
      </c>
      <c r="K36" s="63">
        <v>1</v>
      </c>
      <c r="L36" s="130">
        <v>0.5</v>
      </c>
      <c r="M36" s="115">
        <v>0</v>
      </c>
      <c r="N36" s="136">
        <v>1E-3</v>
      </c>
      <c r="O36" s="254"/>
      <c r="P36" s="96">
        <v>529000000</v>
      </c>
      <c r="Q36" s="96">
        <v>529000000</v>
      </c>
      <c r="R36" s="96">
        <v>52500000</v>
      </c>
      <c r="S36" s="96">
        <v>17500000</v>
      </c>
      <c r="T36" s="53">
        <f t="shared" si="1"/>
        <v>9.9243856332703217E-2</v>
      </c>
      <c r="U36" s="53">
        <f t="shared" si="1"/>
        <v>0.33333333333333331</v>
      </c>
      <c r="V36" s="210">
        <v>45342</v>
      </c>
      <c r="W36" s="211">
        <v>45657</v>
      </c>
      <c r="X36" s="111" t="s">
        <v>289</v>
      </c>
      <c r="Y36" s="242"/>
    </row>
    <row r="37" spans="1:25" ht="27" x14ac:dyDescent="0.25">
      <c r="A37" s="236"/>
      <c r="B37" s="237"/>
      <c r="C37" s="237"/>
      <c r="D37" s="238"/>
      <c r="E37" s="98" t="s">
        <v>290</v>
      </c>
      <c r="F37" s="63"/>
      <c r="G37" s="66"/>
      <c r="H37" s="63"/>
      <c r="I37" s="80" t="s">
        <v>291</v>
      </c>
      <c r="J37" s="80" t="s">
        <v>292</v>
      </c>
      <c r="K37" s="63">
        <v>1</v>
      </c>
      <c r="L37" s="130">
        <v>0.5</v>
      </c>
      <c r="M37" s="128">
        <v>0</v>
      </c>
      <c r="N37" s="136">
        <v>0</v>
      </c>
      <c r="O37" s="255"/>
      <c r="P37" s="96">
        <v>971000000</v>
      </c>
      <c r="Q37" s="96">
        <v>971000000</v>
      </c>
      <c r="R37" s="96">
        <v>0</v>
      </c>
      <c r="S37" s="96">
        <v>0</v>
      </c>
      <c r="T37" s="53">
        <f t="shared" si="1"/>
        <v>0</v>
      </c>
      <c r="U37" s="53">
        <f t="shared" si="1"/>
        <v>0</v>
      </c>
      <c r="V37" s="210"/>
      <c r="W37" s="211"/>
      <c r="X37" s="80"/>
      <c r="Y37" s="242"/>
    </row>
    <row r="38" spans="1:25" x14ac:dyDescent="0.25">
      <c r="A38" s="192"/>
      <c r="B38" s="186">
        <v>5205001</v>
      </c>
      <c r="C38" s="186" t="s">
        <v>63</v>
      </c>
      <c r="D38" s="187" t="s">
        <v>117</v>
      </c>
      <c r="E38" s="61"/>
      <c r="F38" s="148"/>
      <c r="G38" s="61"/>
      <c r="H38" s="148"/>
      <c r="I38" s="67"/>
      <c r="J38" s="67"/>
      <c r="K38" s="148"/>
      <c r="L38" s="120"/>
      <c r="M38" s="62"/>
      <c r="N38" s="138"/>
      <c r="O38" s="53"/>
      <c r="P38" s="62"/>
      <c r="Q38" s="62"/>
      <c r="R38" s="103"/>
      <c r="S38" s="62"/>
      <c r="T38" s="114"/>
      <c r="U38" s="114"/>
      <c r="V38" s="213"/>
      <c r="W38" s="213"/>
      <c r="X38" s="62"/>
      <c r="Y38" s="48"/>
    </row>
    <row r="39" spans="1:25" ht="25.5" x14ac:dyDescent="0.25">
      <c r="A39" s="167"/>
      <c r="B39" s="169">
        <v>52050010008</v>
      </c>
      <c r="C39" s="169" t="s">
        <v>64</v>
      </c>
      <c r="D39" s="123" t="s">
        <v>240</v>
      </c>
      <c r="E39" s="73"/>
      <c r="F39" s="48"/>
      <c r="G39" s="81"/>
      <c r="H39" s="81"/>
      <c r="I39" s="73"/>
      <c r="J39" s="73"/>
      <c r="K39" s="81"/>
      <c r="L39" s="81"/>
      <c r="M39" s="62"/>
      <c r="N39" s="138"/>
      <c r="O39" s="53"/>
      <c r="P39" s="62"/>
      <c r="Q39" s="62"/>
      <c r="R39" s="62"/>
      <c r="S39" s="62"/>
      <c r="T39" s="114"/>
      <c r="U39" s="114"/>
      <c r="V39" s="212"/>
      <c r="W39" s="212"/>
      <c r="X39" s="62"/>
      <c r="Y39" s="48"/>
    </row>
    <row r="40" spans="1:25" x14ac:dyDescent="0.25">
      <c r="A40" s="236">
        <v>4132</v>
      </c>
      <c r="B40" s="237"/>
      <c r="C40" s="237" t="s">
        <v>67</v>
      </c>
      <c r="D40" s="258" t="s">
        <v>293</v>
      </c>
      <c r="E40" s="88" t="s">
        <v>270</v>
      </c>
      <c r="F40" s="63"/>
      <c r="G40" s="88"/>
      <c r="H40" s="63"/>
      <c r="I40" s="80"/>
      <c r="J40" s="80"/>
      <c r="K40" s="63">
        <f>K41</f>
        <v>1</v>
      </c>
      <c r="L40" s="130">
        <f>L41</f>
        <v>1</v>
      </c>
      <c r="M40" s="115">
        <f>M41</f>
        <v>0</v>
      </c>
      <c r="N40" s="69">
        <f>N41</f>
        <v>0.05</v>
      </c>
      <c r="O40" s="253">
        <f>IF(Q40&gt;0,N40,"NA")</f>
        <v>0.05</v>
      </c>
      <c r="P40" s="96">
        <f>P41</f>
        <v>1000000000</v>
      </c>
      <c r="Q40" s="96">
        <f>Q41</f>
        <v>1000000000</v>
      </c>
      <c r="R40" s="96">
        <f>R41</f>
        <v>38997000</v>
      </c>
      <c r="S40" s="96">
        <f>S41</f>
        <v>20228000</v>
      </c>
      <c r="T40" s="53">
        <f>+IF(Q40=0,0,R40/Q40)</f>
        <v>3.8996999999999997E-2</v>
      </c>
      <c r="U40" s="53">
        <f>+IF(R40=0,0,S40/R40)</f>
        <v>0.51870656717183372</v>
      </c>
      <c r="V40" s="210"/>
      <c r="W40" s="211"/>
      <c r="X40" s="118"/>
      <c r="Y40" s="241" t="s">
        <v>101</v>
      </c>
    </row>
    <row r="41" spans="1:25" ht="148.5" x14ac:dyDescent="0.25">
      <c r="A41" s="236"/>
      <c r="B41" s="237"/>
      <c r="C41" s="237"/>
      <c r="D41" s="258"/>
      <c r="E41" s="98" t="s">
        <v>271</v>
      </c>
      <c r="F41" s="128"/>
      <c r="G41" s="80" t="s">
        <v>241</v>
      </c>
      <c r="H41" s="63"/>
      <c r="I41" s="80" t="s">
        <v>272</v>
      </c>
      <c r="J41" s="80" t="s">
        <v>120</v>
      </c>
      <c r="K41" s="63">
        <v>1</v>
      </c>
      <c r="L41" s="130">
        <v>1</v>
      </c>
      <c r="M41" s="128">
        <v>0</v>
      </c>
      <c r="N41" s="69">
        <v>0.05</v>
      </c>
      <c r="O41" s="255"/>
      <c r="P41" s="96">
        <v>1000000000</v>
      </c>
      <c r="Q41" s="96">
        <v>1000000000</v>
      </c>
      <c r="R41" s="96">
        <v>38997000</v>
      </c>
      <c r="S41" s="96">
        <v>20228000</v>
      </c>
      <c r="T41" s="53">
        <f>+IF(Q41=0,0,R41/Q41)</f>
        <v>3.8996999999999997E-2</v>
      </c>
      <c r="U41" s="53">
        <f>+IF(R41=0,0,S41/R41)</f>
        <v>0.51870656717183372</v>
      </c>
      <c r="V41" s="210">
        <v>45324</v>
      </c>
      <c r="W41" s="211">
        <v>45657</v>
      </c>
      <c r="X41" s="111" t="s">
        <v>294</v>
      </c>
      <c r="Y41" s="242"/>
    </row>
    <row r="42" spans="1:25" ht="25.5" x14ac:dyDescent="0.25">
      <c r="A42" s="126"/>
      <c r="B42" s="122">
        <v>52050010010</v>
      </c>
      <c r="C42" s="122" t="s">
        <v>64</v>
      </c>
      <c r="D42" s="164" t="s">
        <v>242</v>
      </c>
      <c r="E42" s="119"/>
      <c r="F42" s="101"/>
      <c r="G42" s="119"/>
      <c r="H42" s="119"/>
      <c r="I42" s="119"/>
      <c r="J42" s="119"/>
      <c r="K42" s="119"/>
      <c r="L42" s="119"/>
      <c r="M42" s="119"/>
      <c r="N42" s="150"/>
      <c r="O42" s="150"/>
      <c r="P42" s="119"/>
      <c r="Q42" s="119"/>
      <c r="R42" s="119"/>
      <c r="S42" s="119"/>
      <c r="T42" s="150"/>
      <c r="U42" s="150"/>
      <c r="V42" s="119"/>
      <c r="W42" s="119"/>
      <c r="X42" s="119"/>
      <c r="Y42" s="119"/>
    </row>
    <row r="43" spans="1:25" x14ac:dyDescent="0.25">
      <c r="A43" s="236">
        <v>4132</v>
      </c>
      <c r="B43" s="237"/>
      <c r="C43" s="237" t="s">
        <v>67</v>
      </c>
      <c r="D43" s="256" t="s">
        <v>118</v>
      </c>
      <c r="E43" s="88" t="s">
        <v>119</v>
      </c>
      <c r="F43" s="63"/>
      <c r="G43" s="119"/>
      <c r="H43" s="95"/>
      <c r="I43" s="119"/>
      <c r="J43" s="119"/>
      <c r="K43" s="63">
        <f>K44</f>
        <v>40</v>
      </c>
      <c r="L43" s="151">
        <f>+L44+L45</f>
        <v>1</v>
      </c>
      <c r="M43" s="79">
        <v>0</v>
      </c>
      <c r="N43" s="136">
        <f>+N44+N45</f>
        <v>0.01</v>
      </c>
      <c r="O43" s="253">
        <f>IF(Q43&gt;0,N43,"NA")</f>
        <v>0.01</v>
      </c>
      <c r="P43" s="96">
        <f>P44+P45</f>
        <v>600000000</v>
      </c>
      <c r="Q43" s="96">
        <f>Q44+Q45</f>
        <v>600000000</v>
      </c>
      <c r="R43" s="96">
        <f>R44+R45</f>
        <v>41687000</v>
      </c>
      <c r="S43" s="96">
        <f>S44+S45</f>
        <v>6498999</v>
      </c>
      <c r="T43" s="53">
        <f t="shared" ref="T43:U45" si="2">+IF(Q43=0,0,R43/Q43)</f>
        <v>6.9478333333333336E-2</v>
      </c>
      <c r="U43" s="53">
        <f t="shared" si="2"/>
        <v>0.15589989685033703</v>
      </c>
      <c r="V43" s="119"/>
      <c r="W43" s="119"/>
      <c r="X43" s="119"/>
      <c r="Y43" s="241" t="s">
        <v>101</v>
      </c>
    </row>
    <row r="44" spans="1:25" ht="94.5" x14ac:dyDescent="0.25">
      <c r="A44" s="236"/>
      <c r="B44" s="237"/>
      <c r="C44" s="237"/>
      <c r="D44" s="256"/>
      <c r="E44" s="98" t="s">
        <v>207</v>
      </c>
      <c r="F44" s="248"/>
      <c r="G44" s="66" t="s">
        <v>243</v>
      </c>
      <c r="H44" s="95"/>
      <c r="I44" s="66" t="s">
        <v>295</v>
      </c>
      <c r="J44" s="66" t="s">
        <v>120</v>
      </c>
      <c r="K44" s="88">
        <v>40</v>
      </c>
      <c r="L44" s="152">
        <v>0.9</v>
      </c>
      <c r="M44" s="79">
        <v>0</v>
      </c>
      <c r="N44" s="136">
        <v>0.01</v>
      </c>
      <c r="O44" s="254"/>
      <c r="P44" s="70">
        <v>570000000</v>
      </c>
      <c r="Q44" s="70">
        <v>570000000</v>
      </c>
      <c r="R44" s="70">
        <v>41687000</v>
      </c>
      <c r="S44" s="70">
        <v>6498999</v>
      </c>
      <c r="T44" s="53">
        <f t="shared" si="2"/>
        <v>7.3135087719298247E-2</v>
      </c>
      <c r="U44" s="53">
        <f>+IF(R44=0,0,S44/R44)</f>
        <v>0.15589989685033703</v>
      </c>
      <c r="V44" s="210">
        <v>45324</v>
      </c>
      <c r="W44" s="211">
        <v>45657</v>
      </c>
      <c r="X44" s="80" t="s">
        <v>296</v>
      </c>
      <c r="Y44" s="242"/>
    </row>
    <row r="45" spans="1:25" ht="27" x14ac:dyDescent="0.25">
      <c r="A45" s="236"/>
      <c r="B45" s="237"/>
      <c r="C45" s="237"/>
      <c r="D45" s="256"/>
      <c r="E45" s="98" t="s">
        <v>297</v>
      </c>
      <c r="F45" s="242"/>
      <c r="G45" s="119"/>
      <c r="H45" s="119"/>
      <c r="I45" s="66" t="s">
        <v>298</v>
      </c>
      <c r="J45" s="66" t="s">
        <v>72</v>
      </c>
      <c r="K45" s="88">
        <v>1</v>
      </c>
      <c r="L45" s="152">
        <v>0.1</v>
      </c>
      <c r="M45" s="79">
        <v>0</v>
      </c>
      <c r="N45" s="136">
        <v>0</v>
      </c>
      <c r="O45" s="255"/>
      <c r="P45" s="70">
        <v>30000000</v>
      </c>
      <c r="Q45" s="70">
        <v>30000000</v>
      </c>
      <c r="R45" s="70">
        <v>0</v>
      </c>
      <c r="S45" s="70">
        <v>0</v>
      </c>
      <c r="T45" s="53">
        <f t="shared" si="2"/>
        <v>0</v>
      </c>
      <c r="U45" s="53">
        <f t="shared" si="2"/>
        <v>0</v>
      </c>
      <c r="V45" s="210"/>
      <c r="W45" s="211"/>
      <c r="X45" s="116"/>
      <c r="Y45" s="242"/>
    </row>
    <row r="46" spans="1:25" x14ac:dyDescent="0.25">
      <c r="A46" s="182"/>
      <c r="B46" s="183">
        <v>53</v>
      </c>
      <c r="C46" s="183" t="s">
        <v>61</v>
      </c>
      <c r="D46" s="185" t="s">
        <v>121</v>
      </c>
      <c r="E46" s="58"/>
      <c r="F46" s="153"/>
      <c r="G46" s="93"/>
      <c r="H46" s="153"/>
      <c r="I46" s="58"/>
      <c r="J46" s="58"/>
      <c r="K46" s="153"/>
      <c r="L46" s="154"/>
      <c r="M46" s="62"/>
      <c r="N46" s="138"/>
      <c r="O46" s="53"/>
      <c r="P46" s="62"/>
      <c r="Q46" s="62"/>
      <c r="R46" s="62"/>
      <c r="S46" s="62"/>
      <c r="T46" s="114"/>
      <c r="U46" s="114"/>
      <c r="V46" s="214"/>
      <c r="W46" s="214"/>
      <c r="X46" s="62"/>
      <c r="Y46" s="48"/>
    </row>
    <row r="47" spans="1:25" x14ac:dyDescent="0.25">
      <c r="A47" s="182"/>
      <c r="B47" s="194">
        <v>5302</v>
      </c>
      <c r="C47" s="194" t="s">
        <v>62</v>
      </c>
      <c r="D47" s="184" t="s">
        <v>122</v>
      </c>
      <c r="E47" s="58"/>
      <c r="F47" s="153"/>
      <c r="G47" s="93"/>
      <c r="H47" s="153"/>
      <c r="I47" s="58"/>
      <c r="J47" s="58"/>
      <c r="K47" s="153"/>
      <c r="L47" s="154"/>
      <c r="M47" s="62"/>
      <c r="N47" s="138"/>
      <c r="O47" s="53"/>
      <c r="P47" s="62"/>
      <c r="Q47" s="62"/>
      <c r="R47" s="62"/>
      <c r="S47" s="62"/>
      <c r="T47" s="114"/>
      <c r="U47" s="114"/>
      <c r="V47" s="214"/>
      <c r="W47" s="214"/>
      <c r="X47" s="62"/>
      <c r="Y47" s="48"/>
    </row>
    <row r="48" spans="1:25" x14ac:dyDescent="0.25">
      <c r="A48" s="168"/>
      <c r="B48" s="186">
        <v>5302001</v>
      </c>
      <c r="C48" s="186" t="s">
        <v>63</v>
      </c>
      <c r="D48" s="187" t="s">
        <v>123</v>
      </c>
      <c r="E48" s="61"/>
      <c r="F48" s="148"/>
      <c r="G48" s="92"/>
      <c r="H48" s="148"/>
      <c r="I48" s="61"/>
      <c r="J48" s="61"/>
      <c r="K48" s="148"/>
      <c r="L48" s="120"/>
      <c r="M48" s="62"/>
      <c r="N48" s="138"/>
      <c r="O48" s="53"/>
      <c r="P48" s="62"/>
      <c r="Q48" s="62"/>
      <c r="R48" s="62"/>
      <c r="S48" s="62"/>
      <c r="T48" s="114"/>
      <c r="U48" s="114"/>
      <c r="V48" s="213"/>
      <c r="W48" s="213"/>
      <c r="X48" s="62"/>
      <c r="Y48" s="48"/>
    </row>
    <row r="49" spans="1:25" ht="38.25" x14ac:dyDescent="0.25">
      <c r="A49" s="167"/>
      <c r="B49" s="169">
        <v>53020010010</v>
      </c>
      <c r="C49" s="169" t="s">
        <v>64</v>
      </c>
      <c r="D49" s="123" t="s">
        <v>124</v>
      </c>
      <c r="E49" s="73"/>
      <c r="F49" s="48"/>
      <c r="G49" s="81"/>
      <c r="H49" s="81"/>
      <c r="I49" s="73"/>
      <c r="J49" s="73"/>
      <c r="K49" s="81"/>
      <c r="L49" s="81"/>
      <c r="M49" s="62"/>
      <c r="N49" s="138"/>
      <c r="O49" s="53"/>
      <c r="P49" s="62"/>
      <c r="Q49" s="62"/>
      <c r="R49" s="62"/>
      <c r="S49" s="62"/>
      <c r="T49" s="114"/>
      <c r="U49" s="114"/>
      <c r="V49" s="212"/>
      <c r="W49" s="212"/>
      <c r="X49" s="62"/>
      <c r="Y49" s="48"/>
    </row>
    <row r="50" spans="1:25" x14ac:dyDescent="0.25">
      <c r="A50" s="236">
        <v>4132</v>
      </c>
      <c r="B50" s="237"/>
      <c r="C50" s="237" t="s">
        <v>67</v>
      </c>
      <c r="D50" s="256" t="s">
        <v>125</v>
      </c>
      <c r="E50" s="88" t="s">
        <v>126</v>
      </c>
      <c r="F50" s="128"/>
      <c r="G50" s="88"/>
      <c r="H50" s="63"/>
      <c r="I50" s="80"/>
      <c r="J50" s="80"/>
      <c r="K50" s="63">
        <f>K51</f>
        <v>1</v>
      </c>
      <c r="L50" s="130">
        <f>L51</f>
        <v>1</v>
      </c>
      <c r="M50" s="130">
        <f>M51</f>
        <v>0</v>
      </c>
      <c r="N50" s="69">
        <f>N51</f>
        <v>0.1</v>
      </c>
      <c r="O50" s="253">
        <f>IF(Q50&gt;0,N50,"NA")</f>
        <v>0.1</v>
      </c>
      <c r="P50" s="96">
        <f>P51</f>
        <v>1000000000</v>
      </c>
      <c r="Q50" s="96">
        <f>Q51</f>
        <v>1000000000</v>
      </c>
      <c r="R50" s="96">
        <f>R51</f>
        <v>125609000</v>
      </c>
      <c r="S50" s="96">
        <f>S51</f>
        <v>37347000</v>
      </c>
      <c r="T50" s="53">
        <f>+IF(Q50=0,0,R50/Q50)</f>
        <v>0.125609</v>
      </c>
      <c r="U50" s="53">
        <f>+IF(R50=0,0,S50/R50)</f>
        <v>0.29732742080583396</v>
      </c>
      <c r="V50" s="210"/>
      <c r="W50" s="211"/>
      <c r="X50" s="62"/>
      <c r="Y50" s="241" t="s">
        <v>101</v>
      </c>
    </row>
    <row r="51" spans="1:25" ht="162" x14ac:dyDescent="0.25">
      <c r="A51" s="236"/>
      <c r="B51" s="237"/>
      <c r="C51" s="237"/>
      <c r="D51" s="256"/>
      <c r="E51" s="98" t="s">
        <v>208</v>
      </c>
      <c r="F51" s="128"/>
      <c r="G51" s="80" t="s">
        <v>124</v>
      </c>
      <c r="H51" s="63"/>
      <c r="I51" s="80" t="s">
        <v>244</v>
      </c>
      <c r="J51" s="80" t="s">
        <v>66</v>
      </c>
      <c r="K51" s="63">
        <v>1</v>
      </c>
      <c r="L51" s="130">
        <v>1</v>
      </c>
      <c r="M51" s="128">
        <v>0</v>
      </c>
      <c r="N51" s="69">
        <v>0.1</v>
      </c>
      <c r="O51" s="255"/>
      <c r="P51" s="96">
        <v>1000000000</v>
      </c>
      <c r="Q51" s="96">
        <v>1000000000</v>
      </c>
      <c r="R51" s="96">
        <v>125609000</v>
      </c>
      <c r="S51" s="96">
        <v>37347000</v>
      </c>
      <c r="T51" s="53">
        <f>+IF(Q51=0,0,R51/Q51)</f>
        <v>0.125609</v>
      </c>
      <c r="U51" s="53">
        <f>+IF(R51=0,0,S51/R51)</f>
        <v>0.29732742080583396</v>
      </c>
      <c r="V51" s="210">
        <v>45341</v>
      </c>
      <c r="W51" s="211">
        <v>45657</v>
      </c>
      <c r="X51" s="66" t="s">
        <v>299</v>
      </c>
      <c r="Y51" s="242"/>
    </row>
    <row r="52" spans="1:25" x14ac:dyDescent="0.25">
      <c r="A52" s="183"/>
      <c r="B52" s="194">
        <v>5304</v>
      </c>
      <c r="C52" s="194" t="s">
        <v>62</v>
      </c>
      <c r="D52" s="184" t="s">
        <v>127</v>
      </c>
      <c r="E52" s="58"/>
      <c r="F52" s="153"/>
      <c r="G52" s="59"/>
      <c r="H52" s="153"/>
      <c r="I52" s="58"/>
      <c r="J52" s="58"/>
      <c r="K52" s="153"/>
      <c r="L52" s="154"/>
      <c r="M52" s="62"/>
      <c r="N52" s="138"/>
      <c r="O52" s="53"/>
      <c r="P52" s="62"/>
      <c r="Q52" s="62"/>
      <c r="R52" s="62"/>
      <c r="S52" s="62"/>
      <c r="T52" s="114"/>
      <c r="U52" s="114"/>
      <c r="V52" s="214"/>
      <c r="W52" s="214"/>
      <c r="X52" s="62"/>
      <c r="Y52" s="48"/>
    </row>
    <row r="53" spans="1:25" x14ac:dyDescent="0.25">
      <c r="A53" s="192"/>
      <c r="B53" s="186">
        <v>5304005</v>
      </c>
      <c r="C53" s="186" t="s">
        <v>63</v>
      </c>
      <c r="D53" s="187" t="s">
        <v>128</v>
      </c>
      <c r="E53" s="61"/>
      <c r="F53" s="148"/>
      <c r="G53" s="67"/>
      <c r="H53" s="148"/>
      <c r="I53" s="61"/>
      <c r="J53" s="61"/>
      <c r="K53" s="148"/>
      <c r="L53" s="120"/>
      <c r="M53" s="62"/>
      <c r="N53" s="138"/>
      <c r="O53" s="53"/>
      <c r="P53" s="62"/>
      <c r="Q53" s="62"/>
      <c r="R53" s="62"/>
      <c r="S53" s="62"/>
      <c r="T53" s="114"/>
      <c r="U53" s="114"/>
      <c r="V53" s="213"/>
      <c r="W53" s="213"/>
      <c r="X53" s="62"/>
      <c r="Y53" s="48"/>
    </row>
    <row r="54" spans="1:25" x14ac:dyDescent="0.25">
      <c r="A54" s="167"/>
      <c r="B54" s="169">
        <v>53040050012</v>
      </c>
      <c r="C54" s="169" t="s">
        <v>64</v>
      </c>
      <c r="D54" s="123" t="s">
        <v>129</v>
      </c>
      <c r="E54" s="73"/>
      <c r="F54" s="48"/>
      <c r="G54" s="81"/>
      <c r="H54" s="81"/>
      <c r="I54" s="73"/>
      <c r="J54" s="73"/>
      <c r="K54" s="81"/>
      <c r="L54" s="81"/>
      <c r="M54" s="62"/>
      <c r="N54" s="138"/>
      <c r="O54" s="53"/>
      <c r="P54" s="62"/>
      <c r="Q54" s="62"/>
      <c r="R54" s="62"/>
      <c r="S54" s="62"/>
      <c r="T54" s="114"/>
      <c r="U54" s="114"/>
      <c r="V54" s="212"/>
      <c r="W54" s="212"/>
      <c r="X54" s="62"/>
      <c r="Y54" s="48"/>
    </row>
    <row r="55" spans="1:25" x14ac:dyDescent="0.25">
      <c r="A55" s="236">
        <v>4132</v>
      </c>
      <c r="B55" s="237"/>
      <c r="C55" s="237" t="s">
        <v>67</v>
      </c>
      <c r="D55" s="238" t="s">
        <v>130</v>
      </c>
      <c r="E55" s="88" t="s">
        <v>131</v>
      </c>
      <c r="F55" s="63"/>
      <c r="G55" s="66"/>
      <c r="H55" s="63"/>
      <c r="I55" s="80"/>
      <c r="J55" s="80"/>
      <c r="K55" s="63">
        <f>+K58</f>
        <v>1</v>
      </c>
      <c r="L55" s="130">
        <f>+L56+L57+L58</f>
        <v>1</v>
      </c>
      <c r="M55" s="115">
        <f>+M56+M57+M58</f>
        <v>0</v>
      </c>
      <c r="N55" s="69">
        <f>+N56+N57+N58</f>
        <v>0.05</v>
      </c>
      <c r="O55" s="253">
        <f>IF(Q55&gt;0,N55,"na")</f>
        <v>0.05</v>
      </c>
      <c r="P55" s="96">
        <f>+P56+P57+P58</f>
        <v>300000000</v>
      </c>
      <c r="Q55" s="96">
        <f>Q56+Q58+Q57</f>
        <v>300000000</v>
      </c>
      <c r="R55" s="96">
        <f>R56+R58</f>
        <v>17310000</v>
      </c>
      <c r="S55" s="96">
        <f>S56+S58</f>
        <v>5770000</v>
      </c>
      <c r="T55" s="53">
        <f t="shared" ref="T55:U58" si="3">+IF(Q55=0,0,R55/Q55)</f>
        <v>5.7700000000000001E-2</v>
      </c>
      <c r="U55" s="53">
        <f t="shared" si="3"/>
        <v>0.33333333333333331</v>
      </c>
      <c r="V55" s="210"/>
      <c r="W55" s="211"/>
      <c r="X55" s="62"/>
      <c r="Y55" s="241" t="s">
        <v>101</v>
      </c>
    </row>
    <row r="56" spans="1:25" ht="27" x14ac:dyDescent="0.25">
      <c r="A56" s="236"/>
      <c r="B56" s="237"/>
      <c r="C56" s="237"/>
      <c r="D56" s="238"/>
      <c r="E56" s="98" t="s">
        <v>300</v>
      </c>
      <c r="F56" s="63"/>
      <c r="G56" s="159"/>
      <c r="H56" s="63"/>
      <c r="I56" s="80" t="s">
        <v>301</v>
      </c>
      <c r="J56" s="80" t="s">
        <v>302</v>
      </c>
      <c r="K56" s="63">
        <v>1</v>
      </c>
      <c r="L56" s="130">
        <v>0.3</v>
      </c>
      <c r="M56" s="128">
        <v>0</v>
      </c>
      <c r="N56" s="69">
        <v>0</v>
      </c>
      <c r="O56" s="254"/>
      <c r="P56" s="96">
        <v>65000000</v>
      </c>
      <c r="Q56" s="96">
        <v>65000000</v>
      </c>
      <c r="R56" s="96">
        <v>0</v>
      </c>
      <c r="S56" s="96">
        <v>0</v>
      </c>
      <c r="T56" s="53">
        <f t="shared" si="3"/>
        <v>0</v>
      </c>
      <c r="U56" s="53">
        <f>+IF(R56=0,0,S56/R56)</f>
        <v>0</v>
      </c>
      <c r="V56" s="210"/>
      <c r="W56" s="211"/>
      <c r="X56" s="111"/>
      <c r="Y56" s="242"/>
    </row>
    <row r="57" spans="1:25" ht="27" x14ac:dyDescent="0.25">
      <c r="A57" s="236"/>
      <c r="B57" s="237"/>
      <c r="C57" s="237"/>
      <c r="D57" s="238"/>
      <c r="E57" s="98" t="s">
        <v>209</v>
      </c>
      <c r="F57" s="248"/>
      <c r="G57" s="159"/>
      <c r="H57" s="63"/>
      <c r="I57" s="80" t="s">
        <v>303</v>
      </c>
      <c r="J57" s="80" t="s">
        <v>245</v>
      </c>
      <c r="K57" s="63">
        <v>1</v>
      </c>
      <c r="L57" s="130">
        <v>0.3</v>
      </c>
      <c r="M57" s="128">
        <v>0</v>
      </c>
      <c r="N57" s="69">
        <v>0</v>
      </c>
      <c r="O57" s="254"/>
      <c r="P57" s="96">
        <v>33240000</v>
      </c>
      <c r="Q57" s="96">
        <v>33240000</v>
      </c>
      <c r="R57" s="96">
        <v>0</v>
      </c>
      <c r="S57" s="96">
        <v>0</v>
      </c>
      <c r="T57" s="53">
        <f t="shared" si="3"/>
        <v>0</v>
      </c>
      <c r="U57" s="53">
        <f>+IF(R57=0,0,S57/R57)</f>
        <v>0</v>
      </c>
      <c r="V57" s="210"/>
      <c r="W57" s="211"/>
      <c r="X57" s="111"/>
      <c r="Y57" s="242"/>
    </row>
    <row r="58" spans="1:25" ht="67.5" x14ac:dyDescent="0.25">
      <c r="A58" s="236"/>
      <c r="B58" s="237"/>
      <c r="C58" s="237"/>
      <c r="D58" s="238"/>
      <c r="E58" s="98" t="s">
        <v>210</v>
      </c>
      <c r="F58" s="242"/>
      <c r="G58" s="66" t="s">
        <v>132</v>
      </c>
      <c r="H58" s="63"/>
      <c r="I58" s="80" t="s">
        <v>304</v>
      </c>
      <c r="J58" s="80" t="s">
        <v>246</v>
      </c>
      <c r="K58" s="63">
        <v>1</v>
      </c>
      <c r="L58" s="130">
        <v>0.4</v>
      </c>
      <c r="M58" s="128">
        <v>0</v>
      </c>
      <c r="N58" s="69">
        <v>0.05</v>
      </c>
      <c r="O58" s="255"/>
      <c r="P58" s="96">
        <v>201760000</v>
      </c>
      <c r="Q58" s="96">
        <v>201760000</v>
      </c>
      <c r="R58" s="96">
        <v>17310000</v>
      </c>
      <c r="S58" s="96">
        <v>5770000</v>
      </c>
      <c r="T58" s="53">
        <f t="shared" si="3"/>
        <v>8.5795003965107058E-2</v>
      </c>
      <c r="U58" s="53">
        <f>+IF(R58=0,0,S58/R58)</f>
        <v>0.33333333333333331</v>
      </c>
      <c r="V58" s="210">
        <v>45349</v>
      </c>
      <c r="W58" s="211">
        <v>45657</v>
      </c>
      <c r="X58" s="69" t="s">
        <v>305</v>
      </c>
      <c r="Y58" s="242"/>
    </row>
    <row r="59" spans="1:25" x14ac:dyDescent="0.25">
      <c r="A59" s="182"/>
      <c r="B59" s="183">
        <v>53</v>
      </c>
      <c r="C59" s="183" t="s">
        <v>61</v>
      </c>
      <c r="D59" s="185" t="s">
        <v>121</v>
      </c>
      <c r="E59" s="58"/>
      <c r="F59" s="153"/>
      <c r="G59" s="93"/>
      <c r="H59" s="153"/>
      <c r="I59" s="58"/>
      <c r="J59" s="58"/>
      <c r="K59" s="153"/>
      <c r="L59" s="154"/>
      <c r="M59" s="154"/>
      <c r="N59" s="138"/>
      <c r="O59" s="53"/>
      <c r="P59" s="62"/>
      <c r="Q59" s="62"/>
      <c r="R59" s="113"/>
      <c r="S59" s="62"/>
      <c r="T59" s="114"/>
      <c r="U59" s="114"/>
      <c r="V59" s="214"/>
      <c r="W59" s="214"/>
      <c r="X59" s="62"/>
      <c r="Y59" s="48"/>
    </row>
    <row r="60" spans="1:25" x14ac:dyDescent="0.25">
      <c r="A60" s="183"/>
      <c r="B60" s="194">
        <v>5305</v>
      </c>
      <c r="C60" s="194" t="s">
        <v>62</v>
      </c>
      <c r="D60" s="184" t="s">
        <v>195</v>
      </c>
      <c r="E60" s="58"/>
      <c r="F60" s="153"/>
      <c r="G60" s="59"/>
      <c r="H60" s="153"/>
      <c r="I60" s="58"/>
      <c r="J60" s="58"/>
      <c r="K60" s="153"/>
      <c r="L60" s="154"/>
      <c r="M60" s="154"/>
      <c r="N60" s="138"/>
      <c r="O60" s="53"/>
      <c r="P60" s="62"/>
      <c r="Q60" s="62"/>
      <c r="R60" s="62"/>
      <c r="S60" s="62"/>
      <c r="T60" s="114"/>
      <c r="U60" s="114"/>
      <c r="V60" s="214"/>
      <c r="W60" s="214"/>
      <c r="X60" s="62"/>
      <c r="Y60" s="48"/>
    </row>
    <row r="61" spans="1:25" x14ac:dyDescent="0.25">
      <c r="A61" s="192"/>
      <c r="B61" s="186">
        <v>5305001</v>
      </c>
      <c r="C61" s="186" t="s">
        <v>63</v>
      </c>
      <c r="D61" s="187" t="s">
        <v>247</v>
      </c>
      <c r="E61" s="61"/>
      <c r="F61" s="148"/>
      <c r="G61" s="67"/>
      <c r="H61" s="60"/>
      <c r="I61" s="61"/>
      <c r="J61" s="61"/>
      <c r="K61" s="68"/>
      <c r="L61" s="60"/>
      <c r="M61" s="60"/>
      <c r="N61" s="138"/>
      <c r="O61" s="53"/>
      <c r="P61" s="62"/>
      <c r="Q61" s="62"/>
      <c r="R61" s="62"/>
      <c r="S61" s="62"/>
      <c r="T61" s="114"/>
      <c r="U61" s="114"/>
      <c r="V61" s="156"/>
      <c r="W61" s="156"/>
      <c r="X61" s="62"/>
      <c r="Y61" s="48"/>
    </row>
    <row r="62" spans="1:25" x14ac:dyDescent="0.25">
      <c r="A62" s="167"/>
      <c r="B62" s="169">
        <v>53050010007</v>
      </c>
      <c r="C62" s="169" t="s">
        <v>64</v>
      </c>
      <c r="D62" s="123" t="s">
        <v>249</v>
      </c>
      <c r="E62" s="73"/>
      <c r="F62" s="71"/>
      <c r="G62" s="81"/>
      <c r="H62" s="81"/>
      <c r="I62" s="73"/>
      <c r="J62" s="73"/>
      <c r="K62" s="81"/>
      <c r="L62" s="81"/>
      <c r="M62" s="154"/>
      <c r="N62" s="138"/>
      <c r="O62" s="53"/>
      <c r="P62" s="62"/>
      <c r="Q62" s="62"/>
      <c r="R62" s="62"/>
      <c r="S62" s="62"/>
      <c r="T62" s="114"/>
      <c r="U62" s="114"/>
      <c r="V62" s="212"/>
      <c r="W62" s="212"/>
      <c r="X62" s="62"/>
      <c r="Y62" s="48"/>
    </row>
    <row r="63" spans="1:25" x14ac:dyDescent="0.25">
      <c r="A63" s="236">
        <v>4132</v>
      </c>
      <c r="B63" s="237"/>
      <c r="C63" s="237" t="s">
        <v>67</v>
      </c>
      <c r="D63" s="238" t="s">
        <v>250</v>
      </c>
      <c r="E63" s="88" t="s">
        <v>251</v>
      </c>
      <c r="F63" s="63"/>
      <c r="G63" s="66"/>
      <c r="H63" s="95"/>
      <c r="I63" s="80"/>
      <c r="J63" s="80"/>
      <c r="K63" s="63">
        <f>K65</f>
        <v>470</v>
      </c>
      <c r="L63" s="130">
        <v>1</v>
      </c>
      <c r="M63" s="115">
        <f>+M64+M65</f>
        <v>86</v>
      </c>
      <c r="N63" s="69">
        <f>+N64+N65</f>
        <v>9.799999999999999E-2</v>
      </c>
      <c r="O63" s="253">
        <f>IF(Q63&gt;0,N63,"NA")</f>
        <v>9.799999999999999E-2</v>
      </c>
      <c r="P63" s="96">
        <f>+P64+P65</f>
        <v>500000000</v>
      </c>
      <c r="Q63" s="96">
        <f>+Q64+Q65</f>
        <v>500000000</v>
      </c>
      <c r="R63" s="96">
        <f>+R64+R65</f>
        <v>50313000</v>
      </c>
      <c r="S63" s="96">
        <f>+S64+S65</f>
        <v>16771000</v>
      </c>
      <c r="T63" s="53">
        <f t="shared" ref="T63:U65" si="4">+IF(Q63=0,0,R63/Q63)</f>
        <v>0.10062599999999999</v>
      </c>
      <c r="U63" s="53">
        <f t="shared" si="4"/>
        <v>0.33333333333333331</v>
      </c>
      <c r="V63" s="210"/>
      <c r="W63" s="211"/>
      <c r="X63" s="62"/>
      <c r="Y63" s="241" t="s">
        <v>101</v>
      </c>
    </row>
    <row r="64" spans="1:25" ht="54" x14ac:dyDescent="0.25">
      <c r="A64" s="236"/>
      <c r="B64" s="237"/>
      <c r="C64" s="237"/>
      <c r="D64" s="238"/>
      <c r="E64" s="80" t="s">
        <v>306</v>
      </c>
      <c r="F64" s="63"/>
      <c r="G64" s="66" t="s">
        <v>249</v>
      </c>
      <c r="H64" s="95"/>
      <c r="I64" s="80" t="s">
        <v>307</v>
      </c>
      <c r="J64" s="80" t="s">
        <v>248</v>
      </c>
      <c r="K64" s="63">
        <v>1</v>
      </c>
      <c r="L64" s="130">
        <v>0.93</v>
      </c>
      <c r="M64" s="115"/>
      <c r="N64" s="69">
        <v>8.5999999999999993E-2</v>
      </c>
      <c r="O64" s="254"/>
      <c r="P64" s="96">
        <v>465600000</v>
      </c>
      <c r="Q64" s="96">
        <v>465600000</v>
      </c>
      <c r="R64" s="96">
        <v>34620000</v>
      </c>
      <c r="S64" s="96">
        <v>11540000</v>
      </c>
      <c r="T64" s="53">
        <f t="shared" si="4"/>
        <v>7.4355670103092783E-2</v>
      </c>
      <c r="U64" s="53">
        <f t="shared" si="4"/>
        <v>0.33333333333333331</v>
      </c>
      <c r="V64" s="210">
        <v>45342</v>
      </c>
      <c r="W64" s="211">
        <v>45657</v>
      </c>
      <c r="X64" s="193" t="s">
        <v>308</v>
      </c>
      <c r="Y64" s="242"/>
    </row>
    <row r="65" spans="1:25" ht="67.5" x14ac:dyDescent="0.25">
      <c r="A65" s="236"/>
      <c r="B65" s="237"/>
      <c r="C65" s="237"/>
      <c r="D65" s="238"/>
      <c r="E65" s="98" t="s">
        <v>252</v>
      </c>
      <c r="F65" s="63"/>
      <c r="G65" s="66"/>
      <c r="H65" s="95"/>
      <c r="I65" s="66" t="s">
        <v>253</v>
      </c>
      <c r="J65" s="80" t="s">
        <v>120</v>
      </c>
      <c r="K65" s="63">
        <v>470</v>
      </c>
      <c r="L65" s="130">
        <v>7.0000000000000007E-2</v>
      </c>
      <c r="M65" s="128">
        <v>86</v>
      </c>
      <c r="N65" s="69">
        <v>1.2E-2</v>
      </c>
      <c r="O65" s="255"/>
      <c r="P65" s="96">
        <v>34400000</v>
      </c>
      <c r="Q65" s="96">
        <v>34400000</v>
      </c>
      <c r="R65" s="96">
        <v>15693000</v>
      </c>
      <c r="S65" s="96">
        <v>5231000</v>
      </c>
      <c r="T65" s="53">
        <f t="shared" si="4"/>
        <v>0.45619186046511628</v>
      </c>
      <c r="U65" s="53">
        <f t="shared" si="4"/>
        <v>0.33333333333333331</v>
      </c>
      <c r="V65" s="210">
        <v>45342</v>
      </c>
      <c r="W65" s="211">
        <v>45657</v>
      </c>
      <c r="X65" s="111" t="s">
        <v>309</v>
      </c>
      <c r="Y65" s="242"/>
    </row>
    <row r="66" spans="1:25" x14ac:dyDescent="0.25">
      <c r="A66" s="182"/>
      <c r="B66" s="194">
        <v>54</v>
      </c>
      <c r="C66" s="194" t="s">
        <v>61</v>
      </c>
      <c r="D66" s="184" t="s">
        <v>133</v>
      </c>
      <c r="E66" s="58"/>
      <c r="F66" s="153"/>
      <c r="G66" s="153"/>
      <c r="H66" s="153"/>
      <c r="I66" s="58"/>
      <c r="J66" s="58"/>
      <c r="K66" s="153"/>
      <c r="L66" s="154"/>
      <c r="M66" s="154"/>
      <c r="N66" s="138"/>
      <c r="O66" s="53"/>
      <c r="P66" s="62"/>
      <c r="Q66" s="62"/>
      <c r="R66" s="62"/>
      <c r="S66" s="62"/>
      <c r="T66" s="114"/>
      <c r="U66" s="114"/>
      <c r="V66" s="214"/>
      <c r="W66" s="214"/>
      <c r="X66" s="62"/>
      <c r="Y66" s="48"/>
    </row>
    <row r="67" spans="1:25" x14ac:dyDescent="0.25">
      <c r="A67" s="182"/>
      <c r="B67" s="194">
        <v>5401</v>
      </c>
      <c r="C67" s="194" t="s">
        <v>62</v>
      </c>
      <c r="D67" s="184" t="s">
        <v>73</v>
      </c>
      <c r="E67" s="58"/>
      <c r="F67" s="153"/>
      <c r="G67" s="153"/>
      <c r="H67" s="153"/>
      <c r="I67" s="58"/>
      <c r="J67" s="58"/>
      <c r="K67" s="153"/>
      <c r="L67" s="154"/>
      <c r="M67" s="154"/>
      <c r="N67" s="138"/>
      <c r="O67" s="53"/>
      <c r="P67" s="62"/>
      <c r="Q67" s="62"/>
      <c r="R67" s="62"/>
      <c r="S67" s="62"/>
      <c r="T67" s="114"/>
      <c r="U67" s="114"/>
      <c r="V67" s="214"/>
      <c r="W67" s="214"/>
      <c r="X67" s="62"/>
      <c r="Y67" s="48"/>
    </row>
    <row r="68" spans="1:25" x14ac:dyDescent="0.25">
      <c r="A68" s="192"/>
      <c r="B68" s="186">
        <v>5401001</v>
      </c>
      <c r="C68" s="186" t="s">
        <v>63</v>
      </c>
      <c r="D68" s="187" t="s">
        <v>134</v>
      </c>
      <c r="E68" s="61"/>
      <c r="F68" s="148"/>
      <c r="G68" s="67"/>
      <c r="H68" s="148"/>
      <c r="I68" s="61"/>
      <c r="J68" s="61"/>
      <c r="K68" s="148"/>
      <c r="L68" s="120"/>
      <c r="M68" s="60"/>
      <c r="N68" s="138"/>
      <c r="O68" s="53"/>
      <c r="P68" s="62"/>
      <c r="Q68" s="62"/>
      <c r="R68" s="62"/>
      <c r="S68" s="62"/>
      <c r="T68" s="114"/>
      <c r="U68" s="114"/>
      <c r="V68" s="213"/>
      <c r="W68" s="213"/>
      <c r="X68" s="62"/>
      <c r="Y68" s="48"/>
    </row>
    <row r="69" spans="1:25" ht="25.5" x14ac:dyDescent="0.25">
      <c r="A69" s="167"/>
      <c r="B69" s="169">
        <v>54010010002</v>
      </c>
      <c r="C69" s="169" t="s">
        <v>64</v>
      </c>
      <c r="D69" s="123" t="s">
        <v>254</v>
      </c>
      <c r="E69" s="73"/>
      <c r="F69" s="48"/>
      <c r="G69" s="81"/>
      <c r="H69" s="81"/>
      <c r="I69" s="73"/>
      <c r="J69" s="73"/>
      <c r="K69" s="81"/>
      <c r="L69" s="81"/>
      <c r="M69" s="154"/>
      <c r="N69" s="138"/>
      <c r="O69" s="53"/>
      <c r="P69" s="62"/>
      <c r="Q69" s="62"/>
      <c r="R69" s="62"/>
      <c r="S69" s="62"/>
      <c r="T69" s="114"/>
      <c r="U69" s="114"/>
      <c r="V69" s="212"/>
      <c r="W69" s="212"/>
      <c r="X69" s="62"/>
      <c r="Y69" s="48"/>
    </row>
    <row r="70" spans="1:25" x14ac:dyDescent="0.25">
      <c r="A70" s="236">
        <v>4132</v>
      </c>
      <c r="B70" s="237"/>
      <c r="C70" s="237" t="s">
        <v>67</v>
      </c>
      <c r="D70" s="238" t="s">
        <v>255</v>
      </c>
      <c r="E70" s="88" t="s">
        <v>135</v>
      </c>
      <c r="F70" s="128"/>
      <c r="G70" s="66"/>
      <c r="H70" s="63"/>
      <c r="I70" s="80"/>
      <c r="J70" s="80"/>
      <c r="K70" s="63">
        <f>K73</f>
        <v>1</v>
      </c>
      <c r="L70" s="152">
        <f>+L71+L72+L73</f>
        <v>1</v>
      </c>
      <c r="M70" s="115">
        <f>+M71+M72++M73</f>
        <v>0</v>
      </c>
      <c r="N70" s="69">
        <f>+N71+N72+N73</f>
        <v>0</v>
      </c>
      <c r="O70" s="253">
        <f>IF(Q70&gt;0,N70,"NA")</f>
        <v>0</v>
      </c>
      <c r="P70" s="96">
        <f>+P71+P72+P73+P76</f>
        <v>100000000</v>
      </c>
      <c r="Q70" s="96">
        <f>+Q71+Q72+Q73+Q76</f>
        <v>100000000</v>
      </c>
      <c r="R70" s="96">
        <f>+R71+R72+R73+R76</f>
        <v>0</v>
      </c>
      <c r="S70" s="96">
        <f>+S71+S72+S73+S76</f>
        <v>0</v>
      </c>
      <c r="T70" s="53">
        <f t="shared" ref="T70:U73" si="5">+IF(Q70=0,0,R70/Q70)</f>
        <v>0</v>
      </c>
      <c r="U70" s="53">
        <f t="shared" si="5"/>
        <v>0</v>
      </c>
      <c r="V70" s="210"/>
      <c r="W70" s="211"/>
      <c r="X70" s="62"/>
      <c r="Y70" s="241" t="s">
        <v>101</v>
      </c>
    </row>
    <row r="71" spans="1:25" ht="40.5" x14ac:dyDescent="0.25">
      <c r="A71" s="236"/>
      <c r="B71" s="237"/>
      <c r="C71" s="237"/>
      <c r="D71" s="238"/>
      <c r="E71" s="80" t="s">
        <v>310</v>
      </c>
      <c r="F71" s="128"/>
      <c r="G71" s="66"/>
      <c r="H71" s="63"/>
      <c r="I71" s="80" t="s">
        <v>311</v>
      </c>
      <c r="J71" s="80" t="s">
        <v>68</v>
      </c>
      <c r="K71" s="63">
        <v>1</v>
      </c>
      <c r="L71" s="152">
        <v>0.6</v>
      </c>
      <c r="M71" s="115">
        <v>0</v>
      </c>
      <c r="N71" s="69">
        <v>0</v>
      </c>
      <c r="O71" s="254"/>
      <c r="P71" s="96">
        <v>60000000</v>
      </c>
      <c r="Q71" s="96">
        <v>60000000</v>
      </c>
      <c r="R71" s="96">
        <v>0</v>
      </c>
      <c r="S71" s="96">
        <v>0</v>
      </c>
      <c r="T71" s="53">
        <f t="shared" si="5"/>
        <v>0</v>
      </c>
      <c r="U71" s="53">
        <f t="shared" si="5"/>
        <v>0</v>
      </c>
      <c r="V71" s="210"/>
      <c r="W71" s="211"/>
      <c r="X71" s="62"/>
      <c r="Y71" s="242"/>
    </row>
    <row r="72" spans="1:25" ht="81" x14ac:dyDescent="0.25">
      <c r="A72" s="236"/>
      <c r="B72" s="237"/>
      <c r="C72" s="237"/>
      <c r="D72" s="238"/>
      <c r="E72" s="80" t="s">
        <v>211</v>
      </c>
      <c r="F72" s="128"/>
      <c r="G72" s="66" t="s">
        <v>254</v>
      </c>
      <c r="H72" s="63"/>
      <c r="I72" s="80" t="s">
        <v>312</v>
      </c>
      <c r="J72" s="80" t="s">
        <v>75</v>
      </c>
      <c r="K72" s="63">
        <v>1</v>
      </c>
      <c r="L72" s="152">
        <v>0.1</v>
      </c>
      <c r="M72" s="115">
        <v>0</v>
      </c>
      <c r="N72" s="69">
        <v>0</v>
      </c>
      <c r="O72" s="254"/>
      <c r="P72" s="96">
        <v>10000000</v>
      </c>
      <c r="Q72" s="96">
        <v>10000000</v>
      </c>
      <c r="R72" s="96">
        <v>0</v>
      </c>
      <c r="S72" s="96">
        <v>0</v>
      </c>
      <c r="T72" s="53">
        <f t="shared" si="5"/>
        <v>0</v>
      </c>
      <c r="U72" s="53">
        <f t="shared" si="5"/>
        <v>0</v>
      </c>
      <c r="V72" s="210"/>
      <c r="W72" s="211"/>
      <c r="X72" s="62"/>
      <c r="Y72" s="242"/>
    </row>
    <row r="73" spans="1:25" ht="27" x14ac:dyDescent="0.25">
      <c r="A73" s="236"/>
      <c r="B73" s="237"/>
      <c r="C73" s="237"/>
      <c r="D73" s="238"/>
      <c r="E73" s="98" t="s">
        <v>313</v>
      </c>
      <c r="F73" s="128"/>
      <c r="G73" s="80"/>
      <c r="H73" s="63"/>
      <c r="I73" s="80" t="s">
        <v>314</v>
      </c>
      <c r="J73" s="80" t="s">
        <v>120</v>
      </c>
      <c r="K73" s="63">
        <v>1</v>
      </c>
      <c r="L73" s="130">
        <v>0.3</v>
      </c>
      <c r="M73" s="128">
        <v>0</v>
      </c>
      <c r="N73" s="69">
        <v>0</v>
      </c>
      <c r="O73" s="255"/>
      <c r="P73" s="96">
        <v>30000000</v>
      </c>
      <c r="Q73" s="96">
        <v>30000000</v>
      </c>
      <c r="R73" s="96">
        <v>0</v>
      </c>
      <c r="S73" s="96">
        <v>0</v>
      </c>
      <c r="T73" s="53">
        <f t="shared" si="5"/>
        <v>0</v>
      </c>
      <c r="U73" s="53">
        <f t="shared" si="5"/>
        <v>0</v>
      </c>
      <c r="V73" s="210"/>
      <c r="W73" s="211"/>
      <c r="X73" s="111"/>
      <c r="Y73" s="242"/>
    </row>
    <row r="74" spans="1:25" x14ac:dyDescent="0.25">
      <c r="A74" s="257">
        <v>4132</v>
      </c>
      <c r="B74" s="257"/>
      <c r="C74" s="259" t="s">
        <v>67</v>
      </c>
      <c r="D74" s="238" t="s">
        <v>315</v>
      </c>
      <c r="E74" s="50" t="s">
        <v>316</v>
      </c>
      <c r="F74" s="128"/>
      <c r="G74" s="80"/>
      <c r="H74" s="63"/>
      <c r="I74" s="80"/>
      <c r="J74" s="80"/>
      <c r="K74" s="63"/>
      <c r="L74" s="130">
        <v>1</v>
      </c>
      <c r="M74" s="128">
        <f>+M75</f>
        <v>0</v>
      </c>
      <c r="N74" s="69">
        <f>+N75</f>
        <v>0</v>
      </c>
      <c r="O74" s="239">
        <f>IF(Q74&gt;0,N74,"NA")</f>
        <v>0</v>
      </c>
      <c r="P74" s="96">
        <f>+P75</f>
        <v>200000000</v>
      </c>
      <c r="Q74" s="96">
        <f>+Q75</f>
        <v>200000000</v>
      </c>
      <c r="R74" s="96">
        <f>+R75</f>
        <v>24252000</v>
      </c>
      <c r="S74" s="96">
        <f>+S75</f>
        <v>8084000</v>
      </c>
      <c r="T74" s="53"/>
      <c r="U74" s="53"/>
      <c r="V74" s="210"/>
      <c r="W74" s="211"/>
      <c r="X74" s="111"/>
      <c r="Y74" s="155"/>
    </row>
    <row r="75" spans="1:25" ht="108" x14ac:dyDescent="0.25">
      <c r="A75" s="257"/>
      <c r="B75" s="257"/>
      <c r="C75" s="259"/>
      <c r="D75" s="238"/>
      <c r="E75" s="98" t="s">
        <v>317</v>
      </c>
      <c r="F75" s="128"/>
      <c r="G75" s="80" t="s">
        <v>273</v>
      </c>
      <c r="H75" s="63"/>
      <c r="I75" s="80" t="s">
        <v>291</v>
      </c>
      <c r="J75" s="80" t="s">
        <v>139</v>
      </c>
      <c r="K75" s="63">
        <v>1</v>
      </c>
      <c r="L75" s="130">
        <v>1</v>
      </c>
      <c r="M75" s="128">
        <v>0</v>
      </c>
      <c r="N75" s="69">
        <v>0</v>
      </c>
      <c r="O75" s="240"/>
      <c r="P75" s="96">
        <v>200000000</v>
      </c>
      <c r="Q75" s="96">
        <v>200000000</v>
      </c>
      <c r="R75" s="96">
        <v>24252000</v>
      </c>
      <c r="S75" s="96">
        <v>8084000</v>
      </c>
      <c r="T75" s="53">
        <f>+IF(Q75=0,0,R75/Q75)</f>
        <v>0.12126000000000001</v>
      </c>
      <c r="U75" s="53">
        <f>+IF(R75=0,0,S75/R75)</f>
        <v>0.33333333333333331</v>
      </c>
      <c r="V75" s="210">
        <v>45314</v>
      </c>
      <c r="W75" s="211">
        <v>45657</v>
      </c>
      <c r="X75" s="111" t="s">
        <v>318</v>
      </c>
      <c r="Y75" s="88" t="s">
        <v>101</v>
      </c>
    </row>
    <row r="76" spans="1:25" ht="25.5" x14ac:dyDescent="0.25">
      <c r="A76" s="196"/>
      <c r="B76" s="122">
        <v>54010010004</v>
      </c>
      <c r="C76" s="122" t="s">
        <v>64</v>
      </c>
      <c r="D76" s="164" t="s">
        <v>273</v>
      </c>
      <c r="E76" s="81"/>
      <c r="F76" s="81"/>
      <c r="G76" s="81"/>
      <c r="H76" s="81"/>
      <c r="I76" s="119"/>
      <c r="J76" s="119"/>
      <c r="K76" s="119"/>
      <c r="L76" s="119"/>
      <c r="M76" s="119"/>
      <c r="N76" s="150"/>
      <c r="O76" s="150"/>
      <c r="P76" s="119"/>
      <c r="Q76" s="119"/>
      <c r="R76" s="119"/>
      <c r="S76" s="119"/>
      <c r="T76" s="119"/>
      <c r="U76" s="119"/>
      <c r="V76" s="49"/>
      <c r="W76" s="119"/>
      <c r="X76" s="119"/>
      <c r="Y76" s="119"/>
    </row>
    <row r="77" spans="1:25" x14ac:dyDescent="0.25">
      <c r="A77" s="237">
        <v>4132</v>
      </c>
      <c r="B77" s="260"/>
      <c r="C77" s="241" t="s">
        <v>67</v>
      </c>
      <c r="D77" s="258" t="s">
        <v>274</v>
      </c>
      <c r="E77" s="88" t="s">
        <v>275</v>
      </c>
      <c r="F77" s="128"/>
      <c r="G77" s="66"/>
      <c r="H77" s="63"/>
      <c r="I77" s="80"/>
      <c r="J77" s="80"/>
      <c r="K77" s="63">
        <f>K78</f>
        <v>2</v>
      </c>
      <c r="L77" s="152">
        <f>+L78</f>
        <v>1</v>
      </c>
      <c r="M77" s="115">
        <f>+M78</f>
        <v>0</v>
      </c>
      <c r="N77" s="69">
        <f>+N78</f>
        <v>2E-3</v>
      </c>
      <c r="O77" s="239">
        <f>IF(Q77&gt;0,N77,"NA")</f>
        <v>2E-3</v>
      </c>
      <c r="P77" s="96">
        <f>P78</f>
        <v>1000000000</v>
      </c>
      <c r="Q77" s="96">
        <f>+Q78</f>
        <v>1000000000</v>
      </c>
      <c r="R77" s="96">
        <f>+R78</f>
        <v>453453000</v>
      </c>
      <c r="S77" s="96">
        <f>+S78</f>
        <v>201126999</v>
      </c>
      <c r="T77" s="53">
        <f>+IF(Q77=0,0,R77/Q77)</f>
        <v>0.45345299999999999</v>
      </c>
      <c r="U77" s="53">
        <f>+IF(R77=0,0,S77/R77)</f>
        <v>0.44354541485005061</v>
      </c>
      <c r="V77" s="210"/>
      <c r="W77" s="211"/>
      <c r="X77" s="62"/>
      <c r="Y77" s="241" t="s">
        <v>101</v>
      </c>
    </row>
    <row r="78" spans="1:25" ht="108" x14ac:dyDescent="0.25">
      <c r="A78" s="237"/>
      <c r="B78" s="260"/>
      <c r="C78" s="241"/>
      <c r="D78" s="256"/>
      <c r="E78" s="98" t="s">
        <v>276</v>
      </c>
      <c r="F78" s="128"/>
      <c r="G78" s="80" t="s">
        <v>273</v>
      </c>
      <c r="H78" s="63"/>
      <c r="I78" s="80" t="s">
        <v>319</v>
      </c>
      <c r="J78" s="80" t="s">
        <v>120</v>
      </c>
      <c r="K78" s="63">
        <v>2</v>
      </c>
      <c r="L78" s="130">
        <v>1</v>
      </c>
      <c r="M78" s="128">
        <v>0</v>
      </c>
      <c r="N78" s="69">
        <v>2E-3</v>
      </c>
      <c r="O78" s="240"/>
      <c r="P78" s="96">
        <v>1000000000</v>
      </c>
      <c r="Q78" s="96">
        <v>1000000000</v>
      </c>
      <c r="R78" s="96">
        <v>453453000</v>
      </c>
      <c r="S78" s="96">
        <v>201126999</v>
      </c>
      <c r="T78" s="53">
        <f>+IF(Q78=0,0,R78/Q78)</f>
        <v>0.45345299999999999</v>
      </c>
      <c r="U78" s="53">
        <f>+IF(R78=0,0,S78/R78)</f>
        <v>0.44354541485005061</v>
      </c>
      <c r="V78" s="210">
        <v>45340</v>
      </c>
      <c r="W78" s="211">
        <v>45657</v>
      </c>
      <c r="X78" s="111" t="s">
        <v>320</v>
      </c>
      <c r="Y78" s="242"/>
    </row>
    <row r="79" spans="1:25" x14ac:dyDescent="0.25">
      <c r="A79" s="169"/>
      <c r="B79" s="169">
        <v>54010010005</v>
      </c>
      <c r="C79" s="169" t="s">
        <v>64</v>
      </c>
      <c r="D79" s="123" t="s">
        <v>197</v>
      </c>
      <c r="E79" s="73"/>
      <c r="F79" s="48"/>
      <c r="G79" s="81"/>
      <c r="H79" s="81"/>
      <c r="I79" s="81"/>
      <c r="J79" s="81"/>
      <c r="K79" s="81"/>
      <c r="L79" s="81"/>
      <c r="M79" s="154"/>
      <c r="N79" s="138"/>
      <c r="O79" s="53"/>
      <c r="P79" s="62"/>
      <c r="Q79" s="62"/>
      <c r="R79" s="62"/>
      <c r="S79" s="62"/>
      <c r="T79" s="114"/>
      <c r="U79" s="114"/>
      <c r="V79" s="212"/>
      <c r="W79" s="212"/>
      <c r="X79" s="62"/>
      <c r="Y79" s="48"/>
    </row>
    <row r="80" spans="1:25" x14ac:dyDescent="0.25">
      <c r="A80" s="236">
        <v>4132</v>
      </c>
      <c r="B80" s="237"/>
      <c r="C80" s="237" t="s">
        <v>67</v>
      </c>
      <c r="D80" s="238" t="s">
        <v>198</v>
      </c>
      <c r="E80" s="88" t="s">
        <v>199</v>
      </c>
      <c r="F80" s="128"/>
      <c r="G80" s="66"/>
      <c r="H80" s="63"/>
      <c r="I80" s="80"/>
      <c r="J80" s="80"/>
      <c r="K80" s="63">
        <f>K81</f>
        <v>1</v>
      </c>
      <c r="L80" s="152">
        <v>1</v>
      </c>
      <c r="M80" s="115">
        <f>M81</f>
        <v>0</v>
      </c>
      <c r="N80" s="69">
        <f>N81</f>
        <v>5.0000000000000001E-3</v>
      </c>
      <c r="O80" s="239">
        <f>IF(Q80&gt;0,N80,"NA")</f>
        <v>5.0000000000000001E-3</v>
      </c>
      <c r="P80" s="96">
        <f>P81</f>
        <v>500000000</v>
      </c>
      <c r="Q80" s="96">
        <f>Q81</f>
        <v>500000000</v>
      </c>
      <c r="R80" s="96">
        <f>R81</f>
        <v>31386000</v>
      </c>
      <c r="S80" s="96">
        <f>S81</f>
        <v>10462000</v>
      </c>
      <c r="T80" s="53">
        <f>+IF(Q80=0,0,R80/Q80)</f>
        <v>6.2771999999999994E-2</v>
      </c>
      <c r="U80" s="53">
        <f>+IF(R80=0,0,S80/R80)</f>
        <v>0.33333333333333331</v>
      </c>
      <c r="V80" s="210"/>
      <c r="W80" s="211"/>
      <c r="X80" s="62"/>
      <c r="Y80" s="241" t="s">
        <v>101</v>
      </c>
    </row>
    <row r="81" spans="1:25" ht="81" x14ac:dyDescent="0.25">
      <c r="A81" s="236"/>
      <c r="B81" s="237"/>
      <c r="C81" s="237"/>
      <c r="D81" s="238"/>
      <c r="E81" s="98" t="s">
        <v>212</v>
      </c>
      <c r="F81" s="128"/>
      <c r="G81" s="80" t="s">
        <v>197</v>
      </c>
      <c r="H81" s="63"/>
      <c r="I81" s="80" t="s">
        <v>291</v>
      </c>
      <c r="J81" s="80" t="s">
        <v>139</v>
      </c>
      <c r="K81" s="63">
        <v>1</v>
      </c>
      <c r="L81" s="130">
        <v>1</v>
      </c>
      <c r="M81" s="128">
        <v>0</v>
      </c>
      <c r="N81" s="69">
        <v>5.0000000000000001E-3</v>
      </c>
      <c r="O81" s="240"/>
      <c r="P81" s="96">
        <v>500000000</v>
      </c>
      <c r="Q81" s="96">
        <v>500000000</v>
      </c>
      <c r="R81" s="96">
        <v>31386000</v>
      </c>
      <c r="S81" s="96">
        <v>10462000</v>
      </c>
      <c r="T81" s="53">
        <f>+IF(Q81=0,0,R81/Q81)</f>
        <v>6.2771999999999994E-2</v>
      </c>
      <c r="U81" s="53">
        <f>+IF(R81=0,0,S81/R81)</f>
        <v>0.33333333333333331</v>
      </c>
      <c r="V81" s="210">
        <v>45349</v>
      </c>
      <c r="W81" s="211">
        <v>45657</v>
      </c>
      <c r="X81" s="118" t="s">
        <v>321</v>
      </c>
      <c r="Y81" s="242"/>
    </row>
    <row r="82" spans="1:25" x14ac:dyDescent="0.25">
      <c r="A82" s="167"/>
      <c r="B82" s="169">
        <v>54010010006</v>
      </c>
      <c r="C82" s="169" t="s">
        <v>64</v>
      </c>
      <c r="D82" s="123" t="s">
        <v>136</v>
      </c>
      <c r="E82" s="73"/>
      <c r="F82" s="71"/>
      <c r="G82" s="81"/>
      <c r="H82" s="62"/>
      <c r="I82" s="73"/>
      <c r="J82" s="73"/>
      <c r="K82" s="81"/>
      <c r="L82" s="81"/>
      <c r="M82" s="154"/>
      <c r="N82" s="138"/>
      <c r="O82" s="53"/>
      <c r="P82" s="62"/>
      <c r="Q82" s="62"/>
      <c r="R82" s="62"/>
      <c r="S82" s="62"/>
      <c r="T82" s="114"/>
      <c r="U82" s="114"/>
      <c r="V82" s="212"/>
      <c r="W82" s="212"/>
      <c r="X82" s="62"/>
      <c r="Y82" s="48"/>
    </row>
    <row r="83" spans="1:25" x14ac:dyDescent="0.25">
      <c r="A83" s="236">
        <v>4132</v>
      </c>
      <c r="B83" s="237"/>
      <c r="C83" s="237" t="s">
        <v>67</v>
      </c>
      <c r="D83" s="238" t="s">
        <v>137</v>
      </c>
      <c r="E83" s="88" t="s">
        <v>138</v>
      </c>
      <c r="F83" s="63"/>
      <c r="G83" s="66"/>
      <c r="H83" s="95"/>
      <c r="I83" s="80"/>
      <c r="J83" s="80"/>
      <c r="K83" s="197">
        <f>+K85</f>
        <v>4</v>
      </c>
      <c r="L83" s="198">
        <f>+L84+L85+L86</f>
        <v>1</v>
      </c>
      <c r="M83" s="199">
        <f>+M84+M85+M86</f>
        <v>0</v>
      </c>
      <c r="N83" s="200">
        <f>+N84+N85+N86</f>
        <v>0</v>
      </c>
      <c r="O83" s="251">
        <f>IF(Q83&gt;0,N83,"NA")</f>
        <v>0</v>
      </c>
      <c r="P83" s="201">
        <f>+P84+P85+P86</f>
        <v>300000000</v>
      </c>
      <c r="Q83" s="201">
        <f>Q86+Q84+Q85</f>
        <v>300000000</v>
      </c>
      <c r="R83" s="201">
        <f>R86</f>
        <v>0</v>
      </c>
      <c r="S83" s="201">
        <f>S86</f>
        <v>0</v>
      </c>
      <c r="T83" s="202">
        <f t="shared" ref="T83:U86" si="6">+IF(Q83=0,0,R83/Q83)</f>
        <v>0</v>
      </c>
      <c r="U83" s="202">
        <f t="shared" si="6"/>
        <v>0</v>
      </c>
      <c r="V83" s="215"/>
      <c r="W83" s="216"/>
      <c r="X83" s="203"/>
      <c r="Y83" s="252" t="s">
        <v>101</v>
      </c>
    </row>
    <row r="84" spans="1:25" ht="54" x14ac:dyDescent="0.25">
      <c r="A84" s="236"/>
      <c r="B84" s="237"/>
      <c r="C84" s="237"/>
      <c r="D84" s="238"/>
      <c r="E84" s="80" t="s">
        <v>322</v>
      </c>
      <c r="F84" s="63"/>
      <c r="G84" s="66"/>
      <c r="H84" s="95"/>
      <c r="I84" s="80" t="s">
        <v>323</v>
      </c>
      <c r="J84" s="80" t="s">
        <v>324</v>
      </c>
      <c r="K84" s="197">
        <v>1</v>
      </c>
      <c r="L84" s="198">
        <v>0.33</v>
      </c>
      <c r="M84" s="199">
        <v>0</v>
      </c>
      <c r="N84" s="200">
        <v>0</v>
      </c>
      <c r="O84" s="240"/>
      <c r="P84" s="201">
        <v>213960000</v>
      </c>
      <c r="Q84" s="201">
        <v>213960000</v>
      </c>
      <c r="R84" s="201">
        <v>0</v>
      </c>
      <c r="S84" s="201">
        <v>0</v>
      </c>
      <c r="T84" s="202">
        <f t="shared" si="6"/>
        <v>0</v>
      </c>
      <c r="U84" s="202">
        <f t="shared" si="6"/>
        <v>0</v>
      </c>
      <c r="V84" s="215"/>
      <c r="W84" s="216"/>
      <c r="X84" s="203"/>
      <c r="Y84" s="242"/>
    </row>
    <row r="85" spans="1:25" ht="108" x14ac:dyDescent="0.25">
      <c r="A85" s="236"/>
      <c r="B85" s="237"/>
      <c r="C85" s="237"/>
      <c r="D85" s="238"/>
      <c r="E85" s="80" t="s">
        <v>213</v>
      </c>
      <c r="F85" s="63"/>
      <c r="G85" s="66" t="s">
        <v>136</v>
      </c>
      <c r="H85" s="95"/>
      <c r="I85" s="80" t="s">
        <v>325</v>
      </c>
      <c r="J85" s="80" t="s">
        <v>139</v>
      </c>
      <c r="K85" s="197">
        <v>4</v>
      </c>
      <c r="L85" s="198">
        <v>0.33</v>
      </c>
      <c r="M85" s="199">
        <v>0</v>
      </c>
      <c r="N85" s="200">
        <v>0</v>
      </c>
      <c r="O85" s="240"/>
      <c r="P85" s="201">
        <v>40000000</v>
      </c>
      <c r="Q85" s="201">
        <v>40000000</v>
      </c>
      <c r="R85" s="201">
        <v>0</v>
      </c>
      <c r="S85" s="201">
        <v>0</v>
      </c>
      <c r="T85" s="202">
        <f t="shared" si="6"/>
        <v>0</v>
      </c>
      <c r="U85" s="202">
        <f t="shared" si="6"/>
        <v>0</v>
      </c>
      <c r="V85" s="215"/>
      <c r="W85" s="216"/>
      <c r="X85" s="203"/>
      <c r="Y85" s="242"/>
    </row>
    <row r="86" spans="1:25" ht="40.5" x14ac:dyDescent="0.25">
      <c r="A86" s="236"/>
      <c r="B86" s="237"/>
      <c r="C86" s="237"/>
      <c r="D86" s="238"/>
      <c r="E86" s="98" t="s">
        <v>326</v>
      </c>
      <c r="F86" s="128"/>
      <c r="G86" s="66"/>
      <c r="H86" s="95"/>
      <c r="I86" s="80" t="s">
        <v>327</v>
      </c>
      <c r="J86" s="80" t="s">
        <v>328</v>
      </c>
      <c r="K86" s="197">
        <v>1</v>
      </c>
      <c r="L86" s="198">
        <v>0.34</v>
      </c>
      <c r="M86" s="204">
        <v>0</v>
      </c>
      <c r="N86" s="200">
        <v>0</v>
      </c>
      <c r="O86" s="240"/>
      <c r="P86" s="201">
        <v>46040000</v>
      </c>
      <c r="Q86" s="201">
        <v>46040000</v>
      </c>
      <c r="R86" s="201">
        <v>0</v>
      </c>
      <c r="S86" s="201">
        <v>0</v>
      </c>
      <c r="T86" s="202">
        <f t="shared" si="6"/>
        <v>0</v>
      </c>
      <c r="U86" s="202">
        <f t="shared" si="6"/>
        <v>0</v>
      </c>
      <c r="V86" s="215"/>
      <c r="W86" s="216"/>
      <c r="X86" s="133"/>
      <c r="Y86" s="242"/>
    </row>
    <row r="87" spans="1:25" ht="33" x14ac:dyDescent="0.25">
      <c r="A87" s="192"/>
      <c r="B87" s="186">
        <v>5402002</v>
      </c>
      <c r="C87" s="186" t="s">
        <v>63</v>
      </c>
      <c r="D87" s="187" t="s">
        <v>256</v>
      </c>
      <c r="E87" s="61"/>
      <c r="F87" s="148"/>
      <c r="G87" s="61"/>
      <c r="H87" s="148"/>
      <c r="I87" s="61"/>
      <c r="J87" s="61"/>
      <c r="K87" s="148"/>
      <c r="L87" s="158"/>
      <c r="M87" s="154"/>
      <c r="N87" s="138"/>
      <c r="O87" s="53"/>
      <c r="P87" s="62"/>
      <c r="Q87" s="62"/>
      <c r="R87" s="62"/>
      <c r="S87" s="62"/>
      <c r="T87" s="114"/>
      <c r="U87" s="114"/>
      <c r="V87" s="213"/>
      <c r="W87" s="213"/>
      <c r="X87" s="62"/>
      <c r="Y87" s="48"/>
    </row>
    <row r="88" spans="1:25" x14ac:dyDescent="0.25">
      <c r="A88" s="169"/>
      <c r="B88" s="122">
        <v>54020020002</v>
      </c>
      <c r="C88" s="122" t="s">
        <v>64</v>
      </c>
      <c r="D88" s="123" t="s">
        <v>141</v>
      </c>
      <c r="E88" s="73"/>
      <c r="F88" s="65"/>
      <c r="G88" s="73"/>
      <c r="H88" s="62"/>
      <c r="I88" s="73"/>
      <c r="J88" s="73"/>
      <c r="K88" s="48"/>
      <c r="L88" s="62"/>
      <c r="M88" s="60"/>
      <c r="N88" s="138"/>
      <c r="O88" s="53"/>
      <c r="P88" s="62"/>
      <c r="Q88" s="62"/>
      <c r="R88" s="62"/>
      <c r="S88" s="62"/>
      <c r="T88" s="114"/>
      <c r="U88" s="114"/>
      <c r="V88" s="141"/>
      <c r="W88" s="141"/>
      <c r="X88" s="62"/>
      <c r="Y88" s="48"/>
    </row>
    <row r="89" spans="1:25" x14ac:dyDescent="0.25">
      <c r="A89" s="236">
        <v>4132</v>
      </c>
      <c r="B89" s="237"/>
      <c r="C89" s="237" t="s">
        <v>67</v>
      </c>
      <c r="D89" s="238" t="s">
        <v>142</v>
      </c>
      <c r="E89" s="88" t="s">
        <v>143</v>
      </c>
      <c r="F89" s="63"/>
      <c r="G89" s="88"/>
      <c r="H89" s="63"/>
      <c r="I89" s="98"/>
      <c r="J89" s="80"/>
      <c r="K89" s="63">
        <v>12</v>
      </c>
      <c r="L89" s="130">
        <f>L90+L91</f>
        <v>1</v>
      </c>
      <c r="M89" s="115">
        <f>M90+M91</f>
        <v>0</v>
      </c>
      <c r="N89" s="69">
        <f>N90+N91</f>
        <v>0.22800000000000001</v>
      </c>
      <c r="O89" s="239">
        <f>IF(Q89&gt;0,N89,"na")</f>
        <v>0.22800000000000001</v>
      </c>
      <c r="P89" s="96">
        <f>P90+P91</f>
        <v>399038204</v>
      </c>
      <c r="Q89" s="96">
        <f>Q90+Q91</f>
        <v>399038204</v>
      </c>
      <c r="R89" s="96">
        <f>R90+R91</f>
        <v>40454000</v>
      </c>
      <c r="S89" s="96">
        <f>S90+S91</f>
        <v>20957000</v>
      </c>
      <c r="T89" s="53">
        <f t="shared" ref="T89:U94" si="7">+IF(Q89=0,0,R89/Q89)</f>
        <v>0.10137876422479086</v>
      </c>
      <c r="U89" s="53">
        <f t="shared" si="7"/>
        <v>0.51804518712611858</v>
      </c>
      <c r="V89" s="210"/>
      <c r="W89" s="211"/>
      <c r="X89" s="62"/>
      <c r="Y89" s="241" t="s">
        <v>140</v>
      </c>
    </row>
    <row r="90" spans="1:25" ht="40.5" x14ac:dyDescent="0.25">
      <c r="A90" s="236"/>
      <c r="B90" s="237"/>
      <c r="C90" s="237"/>
      <c r="D90" s="238"/>
      <c r="E90" s="66" t="s">
        <v>214</v>
      </c>
      <c r="F90" s="248"/>
      <c r="G90" s="66"/>
      <c r="H90" s="52"/>
      <c r="I90" s="80" t="s">
        <v>329</v>
      </c>
      <c r="J90" s="80" t="s">
        <v>74</v>
      </c>
      <c r="K90" s="63">
        <v>1</v>
      </c>
      <c r="L90" s="130">
        <v>0.05</v>
      </c>
      <c r="M90" s="128">
        <v>0</v>
      </c>
      <c r="N90" s="69">
        <v>0</v>
      </c>
      <c r="O90" s="240"/>
      <c r="P90" s="128">
        <v>85000000</v>
      </c>
      <c r="Q90" s="96">
        <v>85000000</v>
      </c>
      <c r="R90" s="96">
        <v>0</v>
      </c>
      <c r="S90" s="96">
        <v>0</v>
      </c>
      <c r="T90" s="53">
        <f t="shared" si="7"/>
        <v>0</v>
      </c>
      <c r="U90" s="53">
        <f t="shared" si="7"/>
        <v>0</v>
      </c>
      <c r="V90" s="210"/>
      <c r="W90" s="211"/>
      <c r="X90" s="111"/>
      <c r="Y90" s="242"/>
    </row>
    <row r="91" spans="1:25" ht="67.5" x14ac:dyDescent="0.25">
      <c r="A91" s="236"/>
      <c r="B91" s="237"/>
      <c r="C91" s="237"/>
      <c r="D91" s="238"/>
      <c r="E91" s="66" t="s">
        <v>215</v>
      </c>
      <c r="F91" s="242"/>
      <c r="G91" s="66" t="s">
        <v>141</v>
      </c>
      <c r="H91" s="64"/>
      <c r="I91" s="80" t="s">
        <v>330</v>
      </c>
      <c r="J91" s="80" t="s">
        <v>144</v>
      </c>
      <c r="K91" s="63">
        <v>12</v>
      </c>
      <c r="L91" s="130">
        <v>0.95</v>
      </c>
      <c r="M91" s="128">
        <v>0</v>
      </c>
      <c r="N91" s="69">
        <v>0.22800000000000001</v>
      </c>
      <c r="O91" s="240"/>
      <c r="P91" s="128">
        <v>314038204</v>
      </c>
      <c r="Q91" s="96">
        <v>314038204</v>
      </c>
      <c r="R91" s="96">
        <v>40454000</v>
      </c>
      <c r="S91" s="96">
        <v>20957000</v>
      </c>
      <c r="T91" s="53">
        <f t="shared" si="7"/>
        <v>0.12881872168648628</v>
      </c>
      <c r="U91" s="53">
        <f t="shared" si="7"/>
        <v>0.51804518712611858</v>
      </c>
      <c r="V91" s="210">
        <v>45309</v>
      </c>
      <c r="W91" s="211">
        <v>45657</v>
      </c>
      <c r="X91" s="111" t="s">
        <v>331</v>
      </c>
      <c r="Y91" s="242"/>
    </row>
    <row r="92" spans="1:25" x14ac:dyDescent="0.25">
      <c r="A92" s="257">
        <v>4132</v>
      </c>
      <c r="B92" s="257"/>
      <c r="C92" s="257" t="s">
        <v>67</v>
      </c>
      <c r="D92" s="262" t="s">
        <v>332</v>
      </c>
      <c r="E92" s="88" t="s">
        <v>333</v>
      </c>
      <c r="F92" s="148"/>
      <c r="G92" s="66"/>
      <c r="H92" s="64"/>
      <c r="I92" s="80"/>
      <c r="J92" s="80"/>
      <c r="K92" s="63">
        <f>+K93</f>
        <v>38</v>
      </c>
      <c r="L92" s="130">
        <f>+L93+L94</f>
        <v>1</v>
      </c>
      <c r="M92" s="130">
        <f>+M93+M94</f>
        <v>0</v>
      </c>
      <c r="N92" s="69">
        <f>+N93+N94</f>
        <v>0.28749999999999998</v>
      </c>
      <c r="O92" s="239">
        <f>IF(Q92&gt;0,N92,"na")</f>
        <v>0.28749999999999998</v>
      </c>
      <c r="P92" s="96">
        <f>+P93+P94</f>
        <v>1205750000</v>
      </c>
      <c r="Q92" s="96">
        <f>+Q93+Q94</f>
        <v>1205750000</v>
      </c>
      <c r="R92" s="96">
        <f>+R93+R94</f>
        <v>675303500</v>
      </c>
      <c r="S92" s="96">
        <f>+S93+S94</f>
        <v>178713500</v>
      </c>
      <c r="T92" s="53">
        <f t="shared" si="7"/>
        <v>0.56006925150321374</v>
      </c>
      <c r="U92" s="53">
        <f t="shared" si="7"/>
        <v>0.26464174996871775</v>
      </c>
      <c r="V92" s="210"/>
      <c r="W92" s="211"/>
      <c r="X92" s="118"/>
      <c r="Y92" s="241" t="s">
        <v>140</v>
      </c>
    </row>
    <row r="93" spans="1:25" ht="94.5" x14ac:dyDescent="0.25">
      <c r="A93" s="257"/>
      <c r="B93" s="257"/>
      <c r="C93" s="257"/>
      <c r="D93" s="262"/>
      <c r="E93" s="80" t="s">
        <v>334</v>
      </c>
      <c r="F93" s="65"/>
      <c r="G93" s="66" t="s">
        <v>141</v>
      </c>
      <c r="H93" s="64"/>
      <c r="I93" s="66" t="s">
        <v>335</v>
      </c>
      <c r="J93" s="80" t="s">
        <v>336</v>
      </c>
      <c r="K93" s="63">
        <v>38</v>
      </c>
      <c r="L93" s="130">
        <v>0.8</v>
      </c>
      <c r="M93" s="128">
        <v>0</v>
      </c>
      <c r="N93" s="69">
        <v>0.2</v>
      </c>
      <c r="O93" s="240"/>
      <c r="P93" s="96">
        <v>272000000</v>
      </c>
      <c r="Q93" s="96">
        <v>327987000</v>
      </c>
      <c r="R93" s="96">
        <v>116359000</v>
      </c>
      <c r="S93" s="96">
        <v>42248000</v>
      </c>
      <c r="T93" s="53">
        <f t="shared" si="7"/>
        <v>0.35476710967202968</v>
      </c>
      <c r="U93" s="53">
        <f t="shared" si="7"/>
        <v>0.36308321659691128</v>
      </c>
      <c r="V93" s="210">
        <v>45309</v>
      </c>
      <c r="W93" s="211">
        <v>45657</v>
      </c>
      <c r="X93" s="118" t="s">
        <v>337</v>
      </c>
      <c r="Y93" s="242"/>
    </row>
    <row r="94" spans="1:25" ht="135" x14ac:dyDescent="0.25">
      <c r="A94" s="257"/>
      <c r="B94" s="257"/>
      <c r="C94" s="257"/>
      <c r="D94" s="262"/>
      <c r="E94" s="66" t="s">
        <v>338</v>
      </c>
      <c r="F94" s="63"/>
      <c r="G94" s="66"/>
      <c r="H94" s="64"/>
      <c r="I94" s="80" t="s">
        <v>339</v>
      </c>
      <c r="J94" s="80" t="s">
        <v>340</v>
      </c>
      <c r="K94" s="63">
        <v>67</v>
      </c>
      <c r="L94" s="130">
        <v>0.2</v>
      </c>
      <c r="M94" s="128">
        <v>0</v>
      </c>
      <c r="N94" s="69">
        <v>8.7499999999999994E-2</v>
      </c>
      <c r="O94" s="240"/>
      <c r="P94" s="96">
        <v>933750000</v>
      </c>
      <c r="Q94" s="96">
        <v>877763000</v>
      </c>
      <c r="R94" s="96">
        <v>558944500</v>
      </c>
      <c r="S94" s="96">
        <v>136465500</v>
      </c>
      <c r="T94" s="53">
        <f t="shared" si="7"/>
        <v>0.63678293571271516</v>
      </c>
      <c r="U94" s="53">
        <f t="shared" si="7"/>
        <v>0.2441485693123378</v>
      </c>
      <c r="V94" s="210">
        <v>45309</v>
      </c>
      <c r="W94" s="211">
        <v>45657</v>
      </c>
      <c r="X94" s="111" t="s">
        <v>341</v>
      </c>
      <c r="Y94" s="242"/>
    </row>
    <row r="95" spans="1:25" x14ac:dyDescent="0.25">
      <c r="A95" s="169"/>
      <c r="B95" s="122">
        <v>54020020003</v>
      </c>
      <c r="C95" s="122" t="s">
        <v>64</v>
      </c>
      <c r="D95" s="123" t="s">
        <v>145</v>
      </c>
      <c r="E95" s="73"/>
      <c r="F95" s="65"/>
      <c r="G95" s="73"/>
      <c r="H95" s="62"/>
      <c r="I95" s="73"/>
      <c r="J95" s="73"/>
      <c r="K95" s="48"/>
      <c r="L95" s="62"/>
      <c r="M95" s="62"/>
      <c r="N95" s="138"/>
      <c r="O95" s="53"/>
      <c r="P95" s="62"/>
      <c r="Q95" s="62"/>
      <c r="R95" s="62"/>
      <c r="S95" s="62"/>
      <c r="T95" s="114"/>
      <c r="U95" s="114"/>
      <c r="V95" s="141"/>
      <c r="W95" s="141"/>
      <c r="X95" s="62"/>
      <c r="Y95" s="48"/>
    </row>
    <row r="96" spans="1:25" x14ac:dyDescent="0.25">
      <c r="A96" s="236">
        <v>4132</v>
      </c>
      <c r="B96" s="237"/>
      <c r="C96" s="237" t="s">
        <v>67</v>
      </c>
      <c r="D96" s="238" t="s">
        <v>146</v>
      </c>
      <c r="E96" s="88" t="s">
        <v>147</v>
      </c>
      <c r="F96" s="248"/>
      <c r="G96" s="51"/>
      <c r="H96" s="64"/>
      <c r="I96" s="98"/>
      <c r="J96" s="80"/>
      <c r="K96" s="63">
        <f>K99</f>
        <v>1</v>
      </c>
      <c r="L96" s="130">
        <f>+L97+L98+L99</f>
        <v>1</v>
      </c>
      <c r="M96" s="115">
        <f>M97+M98+M99</f>
        <v>42</v>
      </c>
      <c r="N96" s="69">
        <f>N97+N98+N99</f>
        <v>0.21179999999999999</v>
      </c>
      <c r="O96" s="250">
        <f>IF(Q96&gt;0,N96,"na")</f>
        <v>0.21179999999999999</v>
      </c>
      <c r="P96" s="96">
        <f>P97+P98+P99</f>
        <v>299712000</v>
      </c>
      <c r="Q96" s="96">
        <f>Q97+Q98+Q99</f>
        <v>299712000</v>
      </c>
      <c r="R96" s="96">
        <f>R97+R98+R99</f>
        <v>50060000</v>
      </c>
      <c r="S96" s="96">
        <f>S97+S98+S99</f>
        <v>13728000</v>
      </c>
      <c r="T96" s="53">
        <f t="shared" ref="T96:U99" si="8">+IF(Q96=0,0,R96/Q96)</f>
        <v>0.16702701259876149</v>
      </c>
      <c r="U96" s="53">
        <f t="shared" si="8"/>
        <v>0.27423092289252898</v>
      </c>
      <c r="V96" s="210"/>
      <c r="W96" s="211"/>
      <c r="X96" s="62"/>
      <c r="Y96" s="241" t="s">
        <v>140</v>
      </c>
    </row>
    <row r="97" spans="1:25" ht="27" x14ac:dyDescent="0.25">
      <c r="A97" s="236"/>
      <c r="B97" s="237"/>
      <c r="C97" s="237"/>
      <c r="D97" s="238"/>
      <c r="E97" s="80" t="s">
        <v>257</v>
      </c>
      <c r="F97" s="242"/>
      <c r="G97" s="159"/>
      <c r="H97" s="64"/>
      <c r="I97" s="66" t="s">
        <v>342</v>
      </c>
      <c r="J97" s="80" t="s">
        <v>75</v>
      </c>
      <c r="K97" s="63">
        <v>2</v>
      </c>
      <c r="L97" s="130">
        <v>0.4</v>
      </c>
      <c r="M97" s="128">
        <v>0</v>
      </c>
      <c r="N97" s="69">
        <v>0</v>
      </c>
      <c r="O97" s="240"/>
      <c r="P97" s="96">
        <v>79712000</v>
      </c>
      <c r="Q97" s="96">
        <v>79712000</v>
      </c>
      <c r="R97" s="96">
        <v>0</v>
      </c>
      <c r="S97" s="96">
        <v>0</v>
      </c>
      <c r="T97" s="53">
        <f t="shared" si="8"/>
        <v>0</v>
      </c>
      <c r="U97" s="53">
        <f t="shared" si="8"/>
        <v>0</v>
      </c>
      <c r="V97" s="210"/>
      <c r="W97" s="211"/>
      <c r="X97" s="111"/>
      <c r="Y97" s="242"/>
    </row>
    <row r="98" spans="1:25" ht="162" x14ac:dyDescent="0.25">
      <c r="A98" s="236"/>
      <c r="B98" s="237"/>
      <c r="C98" s="237"/>
      <c r="D98" s="238"/>
      <c r="E98" s="80" t="s">
        <v>258</v>
      </c>
      <c r="F98" s="242"/>
      <c r="G98" s="66"/>
      <c r="H98" s="64"/>
      <c r="I98" s="80" t="s">
        <v>259</v>
      </c>
      <c r="J98" s="80" t="s">
        <v>65</v>
      </c>
      <c r="K98" s="63">
        <v>200</v>
      </c>
      <c r="L98" s="130">
        <v>0.25</v>
      </c>
      <c r="M98" s="128">
        <v>42</v>
      </c>
      <c r="N98" s="136">
        <v>0.21</v>
      </c>
      <c r="O98" s="240"/>
      <c r="P98" s="96">
        <v>140000000</v>
      </c>
      <c r="Q98" s="96">
        <v>140000000</v>
      </c>
      <c r="R98" s="96">
        <v>41184000</v>
      </c>
      <c r="S98" s="96">
        <v>13728000</v>
      </c>
      <c r="T98" s="53">
        <f t="shared" si="8"/>
        <v>0.29417142857142858</v>
      </c>
      <c r="U98" s="53">
        <f t="shared" si="8"/>
        <v>0.33333333333333331</v>
      </c>
      <c r="V98" s="210">
        <v>45310</v>
      </c>
      <c r="W98" s="211">
        <v>45657</v>
      </c>
      <c r="X98" s="111" t="s">
        <v>343</v>
      </c>
      <c r="Y98" s="242"/>
    </row>
    <row r="99" spans="1:25" ht="54" x14ac:dyDescent="0.25">
      <c r="A99" s="236"/>
      <c r="B99" s="237"/>
      <c r="C99" s="237"/>
      <c r="D99" s="238"/>
      <c r="E99" s="80" t="s">
        <v>216</v>
      </c>
      <c r="F99" s="242"/>
      <c r="G99" s="66" t="s">
        <v>145</v>
      </c>
      <c r="H99" s="64"/>
      <c r="I99" s="80" t="s">
        <v>76</v>
      </c>
      <c r="J99" s="80" t="s">
        <v>77</v>
      </c>
      <c r="K99" s="63">
        <v>1</v>
      </c>
      <c r="L99" s="130">
        <v>0.35</v>
      </c>
      <c r="M99" s="128">
        <v>0</v>
      </c>
      <c r="N99" s="69">
        <v>1.8E-3</v>
      </c>
      <c r="O99" s="240"/>
      <c r="P99" s="96">
        <v>80000000</v>
      </c>
      <c r="Q99" s="96">
        <v>80000000</v>
      </c>
      <c r="R99" s="96">
        <v>8876000</v>
      </c>
      <c r="S99" s="96">
        <v>0</v>
      </c>
      <c r="T99" s="53">
        <f t="shared" si="8"/>
        <v>0.11094999999999999</v>
      </c>
      <c r="U99" s="53">
        <f t="shared" si="8"/>
        <v>0</v>
      </c>
      <c r="V99" s="210"/>
      <c r="W99" s="211"/>
      <c r="X99" s="111" t="s">
        <v>344</v>
      </c>
      <c r="Y99" s="242"/>
    </row>
    <row r="100" spans="1:25" x14ac:dyDescent="0.25">
      <c r="A100" s="169"/>
      <c r="B100" s="122">
        <v>54020020004</v>
      </c>
      <c r="C100" s="122" t="s">
        <v>64</v>
      </c>
      <c r="D100" s="123" t="s">
        <v>148</v>
      </c>
      <c r="E100" s="73"/>
      <c r="F100" s="160"/>
      <c r="G100" s="73"/>
      <c r="H100" s="62"/>
      <c r="I100" s="73"/>
      <c r="J100" s="73"/>
      <c r="K100" s="48"/>
      <c r="L100" s="62"/>
      <c r="M100" s="62"/>
      <c r="N100" s="138"/>
      <c r="O100" s="53"/>
      <c r="P100" s="62"/>
      <c r="Q100" s="62"/>
      <c r="R100" s="62"/>
      <c r="S100" s="62"/>
      <c r="T100" s="114"/>
      <c r="U100" s="114"/>
      <c r="V100" s="141"/>
      <c r="W100" s="141"/>
      <c r="X100" s="62"/>
      <c r="Y100" s="48"/>
    </row>
    <row r="101" spans="1:25" x14ac:dyDescent="0.25">
      <c r="A101" s="236">
        <v>4132</v>
      </c>
      <c r="B101" s="237"/>
      <c r="C101" s="237" t="s">
        <v>67</v>
      </c>
      <c r="D101" s="238" t="s">
        <v>149</v>
      </c>
      <c r="E101" s="88" t="s">
        <v>150</v>
      </c>
      <c r="F101" s="95"/>
      <c r="G101" s="88"/>
      <c r="H101" s="89"/>
      <c r="I101" s="98"/>
      <c r="J101" s="80"/>
      <c r="K101" s="63">
        <f>+K102</f>
        <v>79200</v>
      </c>
      <c r="L101" s="130">
        <f>L102+L103</f>
        <v>1</v>
      </c>
      <c r="M101" s="115">
        <f>M102+M103</f>
        <v>7276</v>
      </c>
      <c r="N101" s="69">
        <f>+N102+N103</f>
        <v>0.184</v>
      </c>
      <c r="O101" s="239">
        <f>IF(Q101&gt;0,N101,"na")</f>
        <v>0.184</v>
      </c>
      <c r="P101" s="96">
        <f>P102+P103</f>
        <v>6000000000</v>
      </c>
      <c r="Q101" s="96">
        <f>Q102+Q103</f>
        <v>6000000000</v>
      </c>
      <c r="R101" s="96">
        <f>R102+R103</f>
        <v>1520924000</v>
      </c>
      <c r="S101" s="96">
        <f>S102+S103</f>
        <v>750000000</v>
      </c>
      <c r="T101" s="53">
        <f t="shared" ref="T101:U103" si="9">+IF(Q101=0,0,R101/Q101)</f>
        <v>0.25348733333333334</v>
      </c>
      <c r="U101" s="53">
        <f t="shared" si="9"/>
        <v>0.49312128679671041</v>
      </c>
      <c r="V101" s="210"/>
      <c r="W101" s="211"/>
      <c r="X101" s="62"/>
      <c r="Y101" s="241" t="s">
        <v>140</v>
      </c>
    </row>
    <row r="102" spans="1:25" ht="67.5" x14ac:dyDescent="0.25">
      <c r="A102" s="236"/>
      <c r="B102" s="237"/>
      <c r="C102" s="237"/>
      <c r="D102" s="238"/>
      <c r="E102" s="66" t="s">
        <v>217</v>
      </c>
      <c r="F102" s="249"/>
      <c r="G102" s="66" t="s">
        <v>148</v>
      </c>
      <c r="H102" s="205"/>
      <c r="I102" s="80" t="s">
        <v>345</v>
      </c>
      <c r="J102" s="80" t="s">
        <v>151</v>
      </c>
      <c r="K102" s="63">
        <v>79200</v>
      </c>
      <c r="L102" s="130">
        <v>0.7</v>
      </c>
      <c r="M102" s="128">
        <v>7276</v>
      </c>
      <c r="N102" s="136">
        <v>9.1999999999999998E-2</v>
      </c>
      <c r="O102" s="240"/>
      <c r="P102" s="96">
        <v>3103438579</v>
      </c>
      <c r="Q102" s="96">
        <v>3103438579</v>
      </c>
      <c r="R102" s="96">
        <v>836196219</v>
      </c>
      <c r="S102" s="96">
        <v>750000000</v>
      </c>
      <c r="T102" s="53">
        <f t="shared" si="9"/>
        <v>0.26944184578302233</v>
      </c>
      <c r="U102" s="53">
        <f t="shared" si="9"/>
        <v>0.89691866927707309</v>
      </c>
      <c r="V102" s="210">
        <v>45327</v>
      </c>
      <c r="W102" s="211">
        <v>45657</v>
      </c>
      <c r="X102" s="111" t="s">
        <v>346</v>
      </c>
      <c r="Y102" s="242"/>
    </row>
    <row r="103" spans="1:25" ht="54" x14ac:dyDescent="0.25">
      <c r="A103" s="236"/>
      <c r="B103" s="237"/>
      <c r="C103" s="237"/>
      <c r="D103" s="238"/>
      <c r="E103" s="66" t="s">
        <v>218</v>
      </c>
      <c r="F103" s="242"/>
      <c r="G103" s="88"/>
      <c r="H103" s="195"/>
      <c r="I103" s="80" t="s">
        <v>260</v>
      </c>
      <c r="J103" s="80" t="s">
        <v>152</v>
      </c>
      <c r="K103" s="63">
        <v>1</v>
      </c>
      <c r="L103" s="130">
        <v>0.3</v>
      </c>
      <c r="M103" s="128">
        <v>0</v>
      </c>
      <c r="N103" s="69">
        <v>9.1999999999999998E-2</v>
      </c>
      <c r="O103" s="240"/>
      <c r="P103" s="96">
        <v>2896561421</v>
      </c>
      <c r="Q103" s="96">
        <v>2896561421</v>
      </c>
      <c r="R103" s="96">
        <v>684727781</v>
      </c>
      <c r="S103" s="96">
        <v>0</v>
      </c>
      <c r="T103" s="53">
        <f t="shared" si="9"/>
        <v>0.23639332348892733</v>
      </c>
      <c r="U103" s="53">
        <f t="shared" si="9"/>
        <v>0</v>
      </c>
      <c r="V103" s="210">
        <v>45327</v>
      </c>
      <c r="W103" s="211">
        <v>45657</v>
      </c>
      <c r="X103" s="118" t="s">
        <v>347</v>
      </c>
      <c r="Y103" s="242"/>
    </row>
    <row r="104" spans="1:25" x14ac:dyDescent="0.25">
      <c r="A104" s="169"/>
      <c r="B104" s="122">
        <v>54020020005</v>
      </c>
      <c r="C104" s="122" t="s">
        <v>64</v>
      </c>
      <c r="D104" s="123" t="s">
        <v>153</v>
      </c>
      <c r="E104" s="73"/>
      <c r="F104" s="65"/>
      <c r="G104" s="73"/>
      <c r="H104" s="62"/>
      <c r="I104" s="73"/>
      <c r="J104" s="73"/>
      <c r="K104" s="48"/>
      <c r="L104" s="62"/>
      <c r="M104" s="62"/>
      <c r="N104" s="138"/>
      <c r="O104" s="53"/>
      <c r="P104" s="62"/>
      <c r="Q104" s="62"/>
      <c r="R104" s="62"/>
      <c r="S104" s="62"/>
      <c r="T104" s="114"/>
      <c r="U104" s="114"/>
      <c r="V104" s="141"/>
      <c r="W104" s="141"/>
      <c r="X104" s="62"/>
      <c r="Y104" s="48"/>
    </row>
    <row r="105" spans="1:25" x14ac:dyDescent="0.25">
      <c r="A105" s="236">
        <v>4132</v>
      </c>
      <c r="B105" s="237"/>
      <c r="C105" s="237" t="s">
        <v>67</v>
      </c>
      <c r="D105" s="238" t="s">
        <v>154</v>
      </c>
      <c r="E105" s="88" t="s">
        <v>155</v>
      </c>
      <c r="F105" s="88"/>
      <c r="G105" s="88"/>
      <c r="H105" s="88"/>
      <c r="I105" s="98"/>
      <c r="J105" s="80"/>
      <c r="K105" s="88">
        <v>16</v>
      </c>
      <c r="L105" s="130">
        <f>+L106+L107+L108+L109</f>
        <v>1</v>
      </c>
      <c r="M105" s="115">
        <f>+M106+M107+M108+M109</f>
        <v>0</v>
      </c>
      <c r="N105" s="69">
        <f>+N106+N107+N108+N109</f>
        <v>0.125</v>
      </c>
      <c r="O105" s="239">
        <f>IF(Q105&gt;0,N105,"na")</f>
        <v>0.125</v>
      </c>
      <c r="P105" s="96">
        <f>+P106+P107+P108+P109</f>
        <v>694556400</v>
      </c>
      <c r="Q105" s="96">
        <f>+Q106+Q107+Q108+Q109</f>
        <v>694556400</v>
      </c>
      <c r="R105" s="96">
        <f>+R106+R107+R108+R109</f>
        <v>45021000</v>
      </c>
      <c r="S105" s="96">
        <f>+S106+S107+S108+S109</f>
        <v>14458000</v>
      </c>
      <c r="T105" s="53">
        <f t="shared" ref="T105:U108" si="10">+IF(Q105=0,0,R105/Q105)</f>
        <v>6.4819790012733303E-2</v>
      </c>
      <c r="U105" s="53">
        <f t="shared" si="10"/>
        <v>0.32113902401101707</v>
      </c>
      <c r="V105" s="210"/>
      <c r="W105" s="211"/>
      <c r="X105" s="60"/>
      <c r="Y105" s="241" t="s">
        <v>140</v>
      </c>
    </row>
    <row r="106" spans="1:25" ht="81" x14ac:dyDescent="0.25">
      <c r="A106" s="236"/>
      <c r="B106" s="237"/>
      <c r="C106" s="237"/>
      <c r="D106" s="238"/>
      <c r="E106" s="80" t="s">
        <v>219</v>
      </c>
      <c r="F106" s="241"/>
      <c r="G106" s="80"/>
      <c r="H106" s="51"/>
      <c r="I106" s="80" t="s">
        <v>156</v>
      </c>
      <c r="J106" s="80" t="s">
        <v>75</v>
      </c>
      <c r="K106" s="88">
        <v>3</v>
      </c>
      <c r="L106" s="130">
        <v>0.2</v>
      </c>
      <c r="M106" s="128">
        <v>0</v>
      </c>
      <c r="N106" s="69">
        <v>0.06</v>
      </c>
      <c r="O106" s="240"/>
      <c r="P106" s="96">
        <v>427429400</v>
      </c>
      <c r="Q106" s="96">
        <v>427429400</v>
      </c>
      <c r="R106" s="96">
        <v>23334000</v>
      </c>
      <c r="S106" s="96">
        <v>7229000</v>
      </c>
      <c r="T106" s="53">
        <f t="shared" si="10"/>
        <v>5.4591471714393068E-2</v>
      </c>
      <c r="U106" s="53">
        <f t="shared" si="10"/>
        <v>0.30980543413045342</v>
      </c>
      <c r="V106" s="210">
        <v>45315</v>
      </c>
      <c r="W106" s="211">
        <v>45657</v>
      </c>
      <c r="X106" s="118" t="s">
        <v>348</v>
      </c>
      <c r="Y106" s="242"/>
    </row>
    <row r="107" spans="1:25" ht="40.5" x14ac:dyDescent="0.25">
      <c r="A107" s="236"/>
      <c r="B107" s="237"/>
      <c r="C107" s="237"/>
      <c r="D107" s="238"/>
      <c r="E107" s="80" t="s">
        <v>220</v>
      </c>
      <c r="F107" s="242"/>
      <c r="G107" s="80"/>
      <c r="H107" s="51"/>
      <c r="I107" s="80" t="s">
        <v>157</v>
      </c>
      <c r="J107" s="80" t="s">
        <v>68</v>
      </c>
      <c r="K107" s="88">
        <v>1</v>
      </c>
      <c r="L107" s="130">
        <v>0.2</v>
      </c>
      <c r="M107" s="128">
        <v>0</v>
      </c>
      <c r="N107" s="69">
        <v>0</v>
      </c>
      <c r="O107" s="240"/>
      <c r="P107" s="96">
        <v>52673200</v>
      </c>
      <c r="Q107" s="96">
        <v>52673200</v>
      </c>
      <c r="R107" s="96">
        <v>0</v>
      </c>
      <c r="S107" s="96">
        <v>0</v>
      </c>
      <c r="T107" s="97">
        <f t="shared" si="10"/>
        <v>0</v>
      </c>
      <c r="U107" s="53">
        <f t="shared" si="10"/>
        <v>0</v>
      </c>
      <c r="V107" s="210"/>
      <c r="W107" s="211"/>
      <c r="X107" s="111"/>
      <c r="Y107" s="242"/>
    </row>
    <row r="108" spans="1:25" ht="94.5" x14ac:dyDescent="0.25">
      <c r="A108" s="236"/>
      <c r="B108" s="237"/>
      <c r="C108" s="237"/>
      <c r="D108" s="238"/>
      <c r="E108" s="80" t="s">
        <v>221</v>
      </c>
      <c r="F108" s="242"/>
      <c r="G108" s="80"/>
      <c r="H108" s="50"/>
      <c r="I108" s="80" t="s">
        <v>261</v>
      </c>
      <c r="J108" s="80" t="s">
        <v>77</v>
      </c>
      <c r="K108" s="88">
        <v>10</v>
      </c>
      <c r="L108" s="130">
        <v>0.2</v>
      </c>
      <c r="M108" s="115">
        <v>0</v>
      </c>
      <c r="N108" s="69">
        <v>6.5000000000000002E-2</v>
      </c>
      <c r="O108" s="240"/>
      <c r="P108" s="96">
        <v>36795000</v>
      </c>
      <c r="Q108" s="96">
        <v>36795000</v>
      </c>
      <c r="R108" s="96">
        <v>21687000</v>
      </c>
      <c r="S108" s="96">
        <v>7229000</v>
      </c>
      <c r="T108" s="53">
        <f t="shared" si="10"/>
        <v>0.58940073379535263</v>
      </c>
      <c r="U108" s="53">
        <f t="shared" si="10"/>
        <v>0.33333333333333331</v>
      </c>
      <c r="V108" s="210">
        <v>45315</v>
      </c>
      <c r="W108" s="211">
        <v>45657</v>
      </c>
      <c r="X108" s="118" t="s">
        <v>349</v>
      </c>
      <c r="Y108" s="242"/>
    </row>
    <row r="109" spans="1:25" ht="40.5" x14ac:dyDescent="0.25">
      <c r="A109" s="236"/>
      <c r="B109" s="237"/>
      <c r="C109" s="237"/>
      <c r="D109" s="238"/>
      <c r="E109" s="80" t="s">
        <v>222</v>
      </c>
      <c r="F109" s="242"/>
      <c r="G109" s="80" t="s">
        <v>153</v>
      </c>
      <c r="H109" s="50"/>
      <c r="I109" s="80" t="s">
        <v>350</v>
      </c>
      <c r="J109" s="80" t="s">
        <v>69</v>
      </c>
      <c r="K109" s="88">
        <v>2</v>
      </c>
      <c r="L109" s="130">
        <v>0.4</v>
      </c>
      <c r="M109" s="128">
        <v>0</v>
      </c>
      <c r="N109" s="69">
        <v>0</v>
      </c>
      <c r="O109" s="240"/>
      <c r="P109" s="96">
        <v>177658800</v>
      </c>
      <c r="Q109" s="96">
        <v>177658800</v>
      </c>
      <c r="R109" s="96">
        <v>0</v>
      </c>
      <c r="S109" s="96">
        <v>0</v>
      </c>
      <c r="T109" s="53">
        <v>0</v>
      </c>
      <c r="U109" s="53">
        <f>+IF(R109=0,0,S109/R109)</f>
        <v>0</v>
      </c>
      <c r="V109" s="210"/>
      <c r="W109" s="211"/>
      <c r="X109" s="111"/>
      <c r="Y109" s="242"/>
    </row>
    <row r="110" spans="1:25" x14ac:dyDescent="0.25">
      <c r="A110" s="169"/>
      <c r="B110" s="122">
        <v>54020020006</v>
      </c>
      <c r="C110" s="122" t="s">
        <v>64</v>
      </c>
      <c r="D110" s="123" t="s">
        <v>158</v>
      </c>
      <c r="E110" s="73"/>
      <c r="F110" s="160"/>
      <c r="G110" s="73"/>
      <c r="H110" s="62"/>
      <c r="I110" s="73"/>
      <c r="J110" s="73"/>
      <c r="K110" s="48"/>
      <c r="L110" s="62"/>
      <c r="M110" s="62"/>
      <c r="N110" s="138"/>
      <c r="O110" s="53"/>
      <c r="P110" s="62"/>
      <c r="Q110" s="62"/>
      <c r="R110" s="62"/>
      <c r="S110" s="62"/>
      <c r="T110" s="114"/>
      <c r="U110" s="114"/>
      <c r="V110" s="141"/>
      <c r="W110" s="141"/>
      <c r="X110" s="62"/>
      <c r="Y110" s="48"/>
    </row>
    <row r="111" spans="1:25" x14ac:dyDescent="0.25">
      <c r="A111" s="236">
        <v>4132</v>
      </c>
      <c r="B111" s="237"/>
      <c r="C111" s="237" t="s">
        <v>67</v>
      </c>
      <c r="D111" s="238" t="s">
        <v>159</v>
      </c>
      <c r="E111" s="88" t="s">
        <v>160</v>
      </c>
      <c r="F111" s="95"/>
      <c r="G111" s="80"/>
      <c r="H111" s="90"/>
      <c r="I111" s="98"/>
      <c r="J111" s="80"/>
      <c r="K111" s="88">
        <f>K113</f>
        <v>1</v>
      </c>
      <c r="L111" s="130">
        <f>L112+L113+L114</f>
        <v>1</v>
      </c>
      <c r="M111" s="115">
        <f>M112+M113+M114+M115+M116</f>
        <v>0</v>
      </c>
      <c r="N111" s="69">
        <f>+N112+N113+N114</f>
        <v>0.06</v>
      </c>
      <c r="O111" s="239">
        <f>IF(Q111&gt;0,N111,"na")</f>
        <v>0.06</v>
      </c>
      <c r="P111" s="96">
        <f>P112+P113+P114</f>
        <v>256278200</v>
      </c>
      <c r="Q111" s="96">
        <f>Q112+Q113+Q114</f>
        <v>256278200</v>
      </c>
      <c r="R111" s="96">
        <f>R112+R113+R114</f>
        <v>28691000</v>
      </c>
      <c r="S111" s="96">
        <f>S112+S113+S114</f>
        <v>5231000</v>
      </c>
      <c r="T111" s="53">
        <f t="shared" ref="T111:U114" si="11">+IF(Q111=0,0,R111/Q111)</f>
        <v>0.11195255780632141</v>
      </c>
      <c r="U111" s="53">
        <f t="shared" si="11"/>
        <v>0.18232198250322401</v>
      </c>
      <c r="V111" s="210"/>
      <c r="W111" s="211"/>
      <c r="X111" s="62"/>
      <c r="Y111" s="241" t="s">
        <v>140</v>
      </c>
    </row>
    <row r="112" spans="1:25" x14ac:dyDescent="0.25">
      <c r="A112" s="236"/>
      <c r="B112" s="237"/>
      <c r="C112" s="237"/>
      <c r="D112" s="238"/>
      <c r="E112" s="66" t="s">
        <v>223</v>
      </c>
      <c r="F112" s="249"/>
      <c r="G112" s="80"/>
      <c r="H112" s="127"/>
      <c r="I112" s="80" t="s">
        <v>351</v>
      </c>
      <c r="J112" s="80" t="s">
        <v>196</v>
      </c>
      <c r="K112" s="88">
        <v>4</v>
      </c>
      <c r="L112" s="130">
        <v>0.2</v>
      </c>
      <c r="M112" s="128">
        <v>0</v>
      </c>
      <c r="N112" s="69">
        <v>0</v>
      </c>
      <c r="O112" s="240"/>
      <c r="P112" s="96">
        <v>55594000</v>
      </c>
      <c r="Q112" s="96">
        <v>55594000</v>
      </c>
      <c r="R112" s="96">
        <v>0</v>
      </c>
      <c r="S112" s="96">
        <v>0</v>
      </c>
      <c r="T112" s="53">
        <f t="shared" si="11"/>
        <v>0</v>
      </c>
      <c r="U112" s="53">
        <f t="shared" si="11"/>
        <v>0</v>
      </c>
      <c r="V112" s="210"/>
      <c r="W112" s="211"/>
      <c r="X112" s="111"/>
      <c r="Y112" s="242"/>
    </row>
    <row r="113" spans="1:25" ht="67.5" x14ac:dyDescent="0.25">
      <c r="A113" s="236"/>
      <c r="B113" s="237"/>
      <c r="C113" s="237"/>
      <c r="D113" s="238"/>
      <c r="E113" s="66" t="s">
        <v>224</v>
      </c>
      <c r="F113" s="242"/>
      <c r="G113" s="80" t="s">
        <v>158</v>
      </c>
      <c r="H113" s="72"/>
      <c r="I113" s="80" t="s">
        <v>161</v>
      </c>
      <c r="J113" s="80" t="s">
        <v>152</v>
      </c>
      <c r="K113" s="88">
        <v>1</v>
      </c>
      <c r="L113" s="130">
        <v>0.45</v>
      </c>
      <c r="M113" s="115">
        <v>0</v>
      </c>
      <c r="N113" s="69">
        <v>0.06</v>
      </c>
      <c r="O113" s="240"/>
      <c r="P113" s="96">
        <v>123314400</v>
      </c>
      <c r="Q113" s="96">
        <v>123314400</v>
      </c>
      <c r="R113" s="96">
        <v>28691000</v>
      </c>
      <c r="S113" s="96">
        <v>5231000</v>
      </c>
      <c r="T113" s="53">
        <f t="shared" si="11"/>
        <v>0.23266544701997496</v>
      </c>
      <c r="U113" s="53">
        <f t="shared" si="11"/>
        <v>0.18232198250322401</v>
      </c>
      <c r="V113" s="210">
        <v>45309</v>
      </c>
      <c r="W113" s="211">
        <v>45657</v>
      </c>
      <c r="X113" s="111" t="s">
        <v>352</v>
      </c>
      <c r="Y113" s="242"/>
    </row>
    <row r="114" spans="1:25" ht="27" x14ac:dyDescent="0.25">
      <c r="A114" s="236"/>
      <c r="B114" s="237"/>
      <c r="C114" s="237"/>
      <c r="D114" s="238"/>
      <c r="E114" s="66" t="s">
        <v>225</v>
      </c>
      <c r="F114" s="242"/>
      <c r="G114" s="80"/>
      <c r="H114" s="51"/>
      <c r="I114" s="80" t="s">
        <v>76</v>
      </c>
      <c r="J114" s="80" t="s">
        <v>77</v>
      </c>
      <c r="K114" s="88">
        <v>1</v>
      </c>
      <c r="L114" s="130">
        <v>0.35</v>
      </c>
      <c r="M114" s="128">
        <v>0</v>
      </c>
      <c r="N114" s="69">
        <v>0</v>
      </c>
      <c r="O114" s="240"/>
      <c r="P114" s="96">
        <v>77369800</v>
      </c>
      <c r="Q114" s="96">
        <v>77369800</v>
      </c>
      <c r="R114" s="96">
        <v>0</v>
      </c>
      <c r="S114" s="96">
        <v>0</v>
      </c>
      <c r="T114" s="53">
        <f t="shared" si="11"/>
        <v>0</v>
      </c>
      <c r="U114" s="53">
        <f t="shared" si="11"/>
        <v>0</v>
      </c>
      <c r="V114" s="210"/>
      <c r="W114" s="211"/>
      <c r="X114" s="111"/>
      <c r="Y114" s="242"/>
    </row>
    <row r="115" spans="1:25" x14ac:dyDescent="0.25">
      <c r="A115" s="169"/>
      <c r="B115" s="122">
        <v>54020020007</v>
      </c>
      <c r="C115" s="122" t="s">
        <v>64</v>
      </c>
      <c r="D115" s="123" t="s">
        <v>162</v>
      </c>
      <c r="E115" s="73"/>
      <c r="F115" s="65"/>
      <c r="G115" s="73"/>
      <c r="H115" s="62"/>
      <c r="I115" s="73"/>
      <c r="J115" s="73"/>
      <c r="K115" s="48"/>
      <c r="L115" s="62"/>
      <c r="M115" s="62"/>
      <c r="N115" s="138"/>
      <c r="O115" s="53"/>
      <c r="P115" s="62"/>
      <c r="Q115" s="62"/>
      <c r="R115" s="62"/>
      <c r="S115" s="62"/>
      <c r="T115" s="114"/>
      <c r="U115" s="114"/>
      <c r="V115" s="141"/>
      <c r="W115" s="141"/>
      <c r="X115" s="62"/>
      <c r="Y115" s="48"/>
    </row>
    <row r="116" spans="1:25" x14ac:dyDescent="0.25">
      <c r="A116" s="236">
        <v>4132</v>
      </c>
      <c r="B116" s="237"/>
      <c r="C116" s="237" t="s">
        <v>67</v>
      </c>
      <c r="D116" s="238" t="s">
        <v>163</v>
      </c>
      <c r="E116" s="50" t="s">
        <v>164</v>
      </c>
      <c r="F116" s="63"/>
      <c r="G116" s="80"/>
      <c r="H116" s="63"/>
      <c r="I116" s="142"/>
      <c r="J116" s="142"/>
      <c r="K116" s="64">
        <f>+K117+K119+K120</f>
        <v>4</v>
      </c>
      <c r="L116" s="127">
        <f>L117+L118+L119+L120</f>
        <v>1</v>
      </c>
      <c r="M116" s="115">
        <f>M117+M118+M119+M120</f>
        <v>0</v>
      </c>
      <c r="N116" s="69">
        <f>N117+N118+N119+N120</f>
        <v>0</v>
      </c>
      <c r="O116" s="239">
        <f>IF(Q116&gt;0,N116,"na")</f>
        <v>0</v>
      </c>
      <c r="P116" s="96">
        <f>P117+P118+P119+P120</f>
        <v>730428392</v>
      </c>
      <c r="Q116" s="96">
        <f>Q117+Q118+Q119+Q120</f>
        <v>730428392</v>
      </c>
      <c r="R116" s="96">
        <f>R117+R118+R119+R120</f>
        <v>0</v>
      </c>
      <c r="S116" s="96">
        <f>S117+S118+S119+S120</f>
        <v>0</v>
      </c>
      <c r="T116" s="53">
        <f t="shared" ref="T116:U120" si="12">+IF(Q116=0,0,R116/Q116)</f>
        <v>0</v>
      </c>
      <c r="U116" s="53">
        <f t="shared" si="12"/>
        <v>0</v>
      </c>
      <c r="V116" s="210"/>
      <c r="W116" s="211"/>
      <c r="X116" s="62"/>
      <c r="Y116" s="241" t="s">
        <v>140</v>
      </c>
    </row>
    <row r="117" spans="1:25" ht="40.5" x14ac:dyDescent="0.25">
      <c r="A117" s="236"/>
      <c r="B117" s="237"/>
      <c r="C117" s="237"/>
      <c r="D117" s="238"/>
      <c r="E117" s="66" t="s">
        <v>226</v>
      </c>
      <c r="F117" s="248"/>
      <c r="G117" s="258" t="s">
        <v>262</v>
      </c>
      <c r="H117" s="63"/>
      <c r="I117" s="142" t="s">
        <v>165</v>
      </c>
      <c r="J117" s="142" t="s">
        <v>166</v>
      </c>
      <c r="K117" s="64">
        <v>1</v>
      </c>
      <c r="L117" s="127">
        <v>0.2</v>
      </c>
      <c r="M117" s="128">
        <v>0</v>
      </c>
      <c r="N117" s="69">
        <v>0</v>
      </c>
      <c r="O117" s="240"/>
      <c r="P117" s="96">
        <v>276340000</v>
      </c>
      <c r="Q117" s="96">
        <v>276340000</v>
      </c>
      <c r="R117" s="96">
        <v>0</v>
      </c>
      <c r="S117" s="96">
        <v>0</v>
      </c>
      <c r="T117" s="53">
        <f t="shared" si="12"/>
        <v>0</v>
      </c>
      <c r="U117" s="53">
        <f t="shared" si="12"/>
        <v>0</v>
      </c>
      <c r="V117" s="210"/>
      <c r="W117" s="211"/>
      <c r="X117" s="111"/>
      <c r="Y117" s="241"/>
    </row>
    <row r="118" spans="1:25" ht="81" x14ac:dyDescent="0.25">
      <c r="A118" s="236"/>
      <c r="B118" s="237"/>
      <c r="C118" s="237"/>
      <c r="D118" s="238"/>
      <c r="E118" s="66" t="s">
        <v>227</v>
      </c>
      <c r="F118" s="242"/>
      <c r="G118" s="242"/>
      <c r="H118" s="63"/>
      <c r="I118" s="142" t="s">
        <v>263</v>
      </c>
      <c r="J118" s="142" t="s">
        <v>167</v>
      </c>
      <c r="K118" s="64">
        <v>1</v>
      </c>
      <c r="L118" s="127">
        <v>0.15</v>
      </c>
      <c r="M118" s="115">
        <v>0</v>
      </c>
      <c r="N118" s="69">
        <v>0</v>
      </c>
      <c r="O118" s="240"/>
      <c r="P118" s="96">
        <v>66712800</v>
      </c>
      <c r="Q118" s="96">
        <v>66712800</v>
      </c>
      <c r="R118" s="96">
        <v>0</v>
      </c>
      <c r="S118" s="96">
        <v>0</v>
      </c>
      <c r="T118" s="53">
        <f t="shared" si="12"/>
        <v>0</v>
      </c>
      <c r="U118" s="53">
        <f t="shared" si="12"/>
        <v>0</v>
      </c>
      <c r="V118" s="210"/>
      <c r="W118" s="211"/>
      <c r="X118" s="111"/>
      <c r="Y118" s="241"/>
    </row>
    <row r="119" spans="1:25" ht="81" x14ac:dyDescent="0.25">
      <c r="A119" s="236"/>
      <c r="B119" s="237"/>
      <c r="C119" s="237"/>
      <c r="D119" s="238"/>
      <c r="E119" s="66" t="s">
        <v>264</v>
      </c>
      <c r="F119" s="242"/>
      <c r="G119" s="242"/>
      <c r="H119" s="63"/>
      <c r="I119" s="142" t="s">
        <v>353</v>
      </c>
      <c r="J119" s="142" t="s">
        <v>265</v>
      </c>
      <c r="K119" s="64">
        <v>1</v>
      </c>
      <c r="L119" s="127">
        <v>0.15</v>
      </c>
      <c r="M119" s="115">
        <v>0</v>
      </c>
      <c r="N119" s="69">
        <v>0</v>
      </c>
      <c r="O119" s="240"/>
      <c r="P119" s="96">
        <v>334455592</v>
      </c>
      <c r="Q119" s="96">
        <v>334455592</v>
      </c>
      <c r="R119" s="96">
        <v>0</v>
      </c>
      <c r="S119" s="96">
        <v>0</v>
      </c>
      <c r="T119" s="97">
        <f t="shared" si="12"/>
        <v>0</v>
      </c>
      <c r="U119" s="53">
        <f t="shared" si="12"/>
        <v>0</v>
      </c>
      <c r="V119" s="210"/>
      <c r="W119" s="211"/>
      <c r="X119" s="62"/>
      <c r="Y119" s="241"/>
    </row>
    <row r="120" spans="1:25" ht="40.5" x14ac:dyDescent="0.25">
      <c r="A120" s="236"/>
      <c r="B120" s="237"/>
      <c r="C120" s="237"/>
      <c r="D120" s="238"/>
      <c r="E120" s="66" t="s">
        <v>228</v>
      </c>
      <c r="F120" s="242"/>
      <c r="G120" s="242"/>
      <c r="H120" s="63"/>
      <c r="I120" s="142" t="s">
        <v>266</v>
      </c>
      <c r="J120" s="142" t="s">
        <v>168</v>
      </c>
      <c r="K120" s="64">
        <v>2</v>
      </c>
      <c r="L120" s="127">
        <v>0.5</v>
      </c>
      <c r="M120" s="115">
        <v>0</v>
      </c>
      <c r="N120" s="69">
        <v>0</v>
      </c>
      <c r="O120" s="240"/>
      <c r="P120" s="96">
        <v>52920000</v>
      </c>
      <c r="Q120" s="96">
        <v>52920000</v>
      </c>
      <c r="R120" s="96">
        <v>0</v>
      </c>
      <c r="S120" s="96">
        <v>0</v>
      </c>
      <c r="T120" s="53">
        <f t="shared" si="12"/>
        <v>0</v>
      </c>
      <c r="U120" s="53">
        <f t="shared" si="12"/>
        <v>0</v>
      </c>
      <c r="V120" s="210"/>
      <c r="W120" s="211"/>
      <c r="X120" s="62"/>
      <c r="Y120" s="241"/>
    </row>
    <row r="121" spans="1:25" x14ac:dyDescent="0.25">
      <c r="A121" s="169"/>
      <c r="B121" s="122">
        <v>54020020008</v>
      </c>
      <c r="C121" s="122" t="s">
        <v>64</v>
      </c>
      <c r="D121" s="123" t="s">
        <v>169</v>
      </c>
      <c r="E121" s="73"/>
      <c r="F121" s="160"/>
      <c r="G121" s="73"/>
      <c r="H121" s="62"/>
      <c r="I121" s="73"/>
      <c r="J121" s="73"/>
      <c r="K121" s="48"/>
      <c r="L121" s="62"/>
      <c r="M121" s="62"/>
      <c r="N121" s="138"/>
      <c r="O121" s="53"/>
      <c r="P121" s="62"/>
      <c r="Q121" s="62"/>
      <c r="R121" s="62"/>
      <c r="S121" s="62"/>
      <c r="T121" s="114"/>
      <c r="U121" s="114"/>
      <c r="V121" s="141"/>
      <c r="W121" s="141"/>
      <c r="X121" s="62"/>
      <c r="Y121" s="48"/>
    </row>
    <row r="122" spans="1:25" x14ac:dyDescent="0.25">
      <c r="A122" s="236">
        <v>4132</v>
      </c>
      <c r="B122" s="237"/>
      <c r="C122" s="237" t="s">
        <v>67</v>
      </c>
      <c r="D122" s="238" t="s">
        <v>170</v>
      </c>
      <c r="E122" s="88" t="s">
        <v>171</v>
      </c>
      <c r="F122" s="72"/>
      <c r="G122" s="80"/>
      <c r="H122" s="95"/>
      <c r="I122" s="98"/>
      <c r="J122" s="80"/>
      <c r="K122" s="88">
        <f>K123</f>
        <v>1</v>
      </c>
      <c r="L122" s="130">
        <f>L123+L124</f>
        <v>1</v>
      </c>
      <c r="M122" s="115">
        <f>M123</f>
        <v>0</v>
      </c>
      <c r="N122" s="69">
        <f>N123+N124</f>
        <v>0</v>
      </c>
      <c r="O122" s="239">
        <f>IF(Q122&gt;0,N122,"na")</f>
        <v>0</v>
      </c>
      <c r="P122" s="96">
        <f>P123+P124</f>
        <v>564122982</v>
      </c>
      <c r="Q122" s="96">
        <f>Q123+Q124</f>
        <v>564122982</v>
      </c>
      <c r="R122" s="96">
        <f>R123+R124</f>
        <v>0</v>
      </c>
      <c r="S122" s="96">
        <f>S123+S124</f>
        <v>0</v>
      </c>
      <c r="T122" s="53">
        <f t="shared" ref="T122:U124" si="13">+IF(Q122=0,0,R122/Q122)</f>
        <v>0</v>
      </c>
      <c r="U122" s="53">
        <f t="shared" si="13"/>
        <v>0</v>
      </c>
      <c r="V122" s="210"/>
      <c r="W122" s="211"/>
      <c r="X122" s="62"/>
      <c r="Y122" s="241" t="s">
        <v>101</v>
      </c>
    </row>
    <row r="123" spans="1:25" ht="54" x14ac:dyDescent="0.25">
      <c r="A123" s="236"/>
      <c r="B123" s="237"/>
      <c r="C123" s="237"/>
      <c r="D123" s="238"/>
      <c r="E123" s="66" t="s">
        <v>229</v>
      </c>
      <c r="F123" s="261"/>
      <c r="G123" s="80" t="s">
        <v>169</v>
      </c>
      <c r="H123" s="72"/>
      <c r="I123" s="80" t="s">
        <v>172</v>
      </c>
      <c r="J123" s="80" t="s">
        <v>173</v>
      </c>
      <c r="K123" s="88">
        <v>1</v>
      </c>
      <c r="L123" s="130">
        <v>0.6</v>
      </c>
      <c r="M123" s="128">
        <v>0</v>
      </c>
      <c r="N123" s="69">
        <v>0</v>
      </c>
      <c r="O123" s="240"/>
      <c r="P123" s="96">
        <v>290005360</v>
      </c>
      <c r="Q123" s="96">
        <v>290005360</v>
      </c>
      <c r="R123" s="96">
        <v>0</v>
      </c>
      <c r="S123" s="96">
        <v>0</v>
      </c>
      <c r="T123" s="53">
        <f t="shared" si="13"/>
        <v>0</v>
      </c>
      <c r="U123" s="53">
        <f t="shared" si="13"/>
        <v>0</v>
      </c>
      <c r="V123" s="210"/>
      <c r="W123" s="211"/>
      <c r="X123" s="118"/>
      <c r="Y123" s="242"/>
    </row>
    <row r="124" spans="1:25" ht="40.5" x14ac:dyDescent="0.25">
      <c r="A124" s="236"/>
      <c r="B124" s="237"/>
      <c r="C124" s="237"/>
      <c r="D124" s="238"/>
      <c r="E124" s="66" t="s">
        <v>230</v>
      </c>
      <c r="F124" s="242"/>
      <c r="G124" s="66"/>
      <c r="H124" s="127"/>
      <c r="I124" s="80" t="s">
        <v>174</v>
      </c>
      <c r="J124" s="80" t="s">
        <v>175</v>
      </c>
      <c r="K124" s="88">
        <v>200</v>
      </c>
      <c r="L124" s="130">
        <v>0.4</v>
      </c>
      <c r="M124" s="115">
        <v>0</v>
      </c>
      <c r="N124" s="69">
        <v>0</v>
      </c>
      <c r="O124" s="240"/>
      <c r="P124" s="96">
        <v>274117622</v>
      </c>
      <c r="Q124" s="96">
        <v>274117622</v>
      </c>
      <c r="R124" s="96">
        <v>0</v>
      </c>
      <c r="S124" s="96">
        <v>0</v>
      </c>
      <c r="T124" s="53">
        <f t="shared" si="13"/>
        <v>0</v>
      </c>
      <c r="U124" s="53">
        <f t="shared" si="13"/>
        <v>0</v>
      </c>
      <c r="V124" s="210"/>
      <c r="W124" s="211"/>
      <c r="X124" s="118"/>
      <c r="Y124" s="242"/>
    </row>
    <row r="125" spans="1:25" x14ac:dyDescent="0.25">
      <c r="A125" s="169"/>
      <c r="B125" s="122">
        <v>54020020009</v>
      </c>
      <c r="C125" s="122" t="s">
        <v>64</v>
      </c>
      <c r="D125" s="123" t="s">
        <v>176</v>
      </c>
      <c r="E125" s="73"/>
      <c r="F125" s="160"/>
      <c r="G125" s="73"/>
      <c r="H125" s="62"/>
      <c r="I125" s="73"/>
      <c r="J125" s="73"/>
      <c r="K125" s="48"/>
      <c r="L125" s="62"/>
      <c r="M125" s="62"/>
      <c r="N125" s="138"/>
      <c r="O125" s="53"/>
      <c r="P125" s="62"/>
      <c r="Q125" s="62"/>
      <c r="R125" s="62"/>
      <c r="S125" s="62"/>
      <c r="T125" s="114"/>
      <c r="U125" s="114"/>
      <c r="V125" s="141"/>
      <c r="W125" s="141"/>
      <c r="X125" s="62"/>
      <c r="Y125" s="48"/>
    </row>
    <row r="126" spans="1:25" x14ac:dyDescent="0.25">
      <c r="A126" s="236">
        <v>4132</v>
      </c>
      <c r="B126" s="236"/>
      <c r="C126" s="237" t="s">
        <v>67</v>
      </c>
      <c r="D126" s="238" t="s">
        <v>177</v>
      </c>
      <c r="E126" s="50" t="s">
        <v>178</v>
      </c>
      <c r="F126" s="90"/>
      <c r="G126" s="88"/>
      <c r="H126" s="206"/>
      <c r="I126" s="80"/>
      <c r="J126" s="80"/>
      <c r="K126" s="63">
        <f>+K127</f>
        <v>1</v>
      </c>
      <c r="L126" s="130">
        <f>L127</f>
        <v>1</v>
      </c>
      <c r="M126" s="115">
        <f>M127</f>
        <v>0</v>
      </c>
      <c r="N126" s="136">
        <f>N127</f>
        <v>0.03</v>
      </c>
      <c r="O126" s="239">
        <f>IF(Q126&gt;0,N126,"NA")</f>
        <v>0.03</v>
      </c>
      <c r="P126" s="96">
        <f>P127</f>
        <v>450000000</v>
      </c>
      <c r="Q126" s="96">
        <f>Q127</f>
        <v>450000000</v>
      </c>
      <c r="R126" s="96">
        <f>R127</f>
        <v>105945000</v>
      </c>
      <c r="S126" s="96">
        <f>S127</f>
        <v>37361000</v>
      </c>
      <c r="T126" s="53">
        <f>+IF(Q126=0,0,R126/Q126)</f>
        <v>0.23543333333333333</v>
      </c>
      <c r="U126" s="53">
        <f>+IF(R126=0,0,S126/R126)</f>
        <v>0.35264524045495305</v>
      </c>
      <c r="V126" s="210"/>
      <c r="W126" s="211"/>
      <c r="X126" s="62"/>
      <c r="Y126" s="241" t="s">
        <v>101</v>
      </c>
    </row>
    <row r="127" spans="1:25" ht="81" x14ac:dyDescent="0.25">
      <c r="A127" s="236"/>
      <c r="B127" s="236"/>
      <c r="C127" s="237"/>
      <c r="D127" s="238"/>
      <c r="E127" s="80" t="s">
        <v>231</v>
      </c>
      <c r="F127" s="95"/>
      <c r="G127" s="66" t="s">
        <v>176</v>
      </c>
      <c r="H127" s="206"/>
      <c r="I127" s="142" t="s">
        <v>267</v>
      </c>
      <c r="J127" s="142" t="s">
        <v>179</v>
      </c>
      <c r="K127" s="64">
        <v>1</v>
      </c>
      <c r="L127" s="127">
        <v>1</v>
      </c>
      <c r="M127" s="128">
        <v>0</v>
      </c>
      <c r="N127" s="136">
        <v>0.03</v>
      </c>
      <c r="O127" s="240"/>
      <c r="P127" s="96">
        <v>450000000</v>
      </c>
      <c r="Q127" s="96">
        <v>450000000</v>
      </c>
      <c r="R127" s="96">
        <v>105945000</v>
      </c>
      <c r="S127" s="96">
        <v>37361000</v>
      </c>
      <c r="T127" s="53">
        <f>+IF(Q127=0,0,R127/Q127)</f>
        <v>0.23543333333333333</v>
      </c>
      <c r="U127" s="53">
        <f>+IF(R127=0,0,S127/R127)</f>
        <v>0.35264524045495305</v>
      </c>
      <c r="V127" s="210">
        <v>45341</v>
      </c>
      <c r="W127" s="211">
        <v>45657</v>
      </c>
      <c r="X127" s="157" t="s">
        <v>354</v>
      </c>
      <c r="Y127" s="242"/>
    </row>
    <row r="128" spans="1:25" ht="38.25" x14ac:dyDescent="0.25">
      <c r="A128" s="169"/>
      <c r="B128" s="122">
        <v>54020020010</v>
      </c>
      <c r="C128" s="122" t="s">
        <v>64</v>
      </c>
      <c r="D128" s="123" t="s">
        <v>268</v>
      </c>
      <c r="E128" s="73"/>
      <c r="F128" s="65"/>
      <c r="G128" s="73"/>
      <c r="H128" s="62"/>
      <c r="I128" s="73"/>
      <c r="J128" s="73"/>
      <c r="K128" s="48"/>
      <c r="L128" s="62"/>
      <c r="M128" s="62"/>
      <c r="N128" s="138"/>
      <c r="O128" s="53"/>
      <c r="P128" s="62"/>
      <c r="Q128" s="62"/>
      <c r="R128" s="62"/>
      <c r="S128" s="62" t="s">
        <v>194</v>
      </c>
      <c r="T128" s="114"/>
      <c r="U128" s="114"/>
      <c r="V128" s="141"/>
      <c r="W128" s="141"/>
      <c r="X128" s="62"/>
      <c r="Y128" s="48"/>
    </row>
    <row r="129" spans="1:25" x14ac:dyDescent="0.25">
      <c r="A129" s="236">
        <v>4132</v>
      </c>
      <c r="B129" s="237"/>
      <c r="C129" s="236" t="s">
        <v>67</v>
      </c>
      <c r="D129" s="238" t="s">
        <v>180</v>
      </c>
      <c r="E129" s="50" t="s">
        <v>181</v>
      </c>
      <c r="F129" s="63"/>
      <c r="G129" s="80"/>
      <c r="H129" s="63"/>
      <c r="I129" s="142"/>
      <c r="J129" s="142"/>
      <c r="K129" s="64">
        <f>K130</f>
        <v>1</v>
      </c>
      <c r="L129" s="127">
        <f>L130</f>
        <v>1</v>
      </c>
      <c r="M129" s="115">
        <f>M130</f>
        <v>0</v>
      </c>
      <c r="N129" s="69">
        <f>N130</f>
        <v>0</v>
      </c>
      <c r="O129" s="239">
        <f>IF(Q129&gt;0,N129,"NA")</f>
        <v>0</v>
      </c>
      <c r="P129" s="96">
        <f>P130</f>
        <v>200000000</v>
      </c>
      <c r="Q129" s="96">
        <f>Q130</f>
        <v>200000000</v>
      </c>
      <c r="R129" s="96">
        <f>R130</f>
        <v>7292000</v>
      </c>
      <c r="S129" s="96">
        <f>S130</f>
        <v>0</v>
      </c>
      <c r="T129" s="53">
        <f>+IF(Q129=0,0,R129/Q129)</f>
        <v>3.6459999999999999E-2</v>
      </c>
      <c r="U129" s="53">
        <f>+IF(R129=0,0,S129/R129)</f>
        <v>0</v>
      </c>
      <c r="V129" s="210"/>
      <c r="W129" s="211"/>
      <c r="X129" s="62"/>
      <c r="Y129" s="241" t="s">
        <v>101</v>
      </c>
    </row>
    <row r="130" spans="1:25" ht="162" x14ac:dyDescent="0.25">
      <c r="A130" s="236"/>
      <c r="B130" s="237"/>
      <c r="C130" s="236"/>
      <c r="D130" s="238"/>
      <c r="E130" s="66" t="s">
        <v>232</v>
      </c>
      <c r="F130" s="63"/>
      <c r="G130" s="80" t="s">
        <v>182</v>
      </c>
      <c r="H130" s="63"/>
      <c r="I130" s="142" t="s">
        <v>269</v>
      </c>
      <c r="J130" s="142" t="s">
        <v>183</v>
      </c>
      <c r="K130" s="64">
        <v>1</v>
      </c>
      <c r="L130" s="117">
        <v>1</v>
      </c>
      <c r="M130" s="128">
        <v>0</v>
      </c>
      <c r="N130" s="69">
        <v>0</v>
      </c>
      <c r="O130" s="240"/>
      <c r="P130" s="96">
        <v>200000000</v>
      </c>
      <c r="Q130" s="96">
        <v>200000000</v>
      </c>
      <c r="R130" s="96">
        <v>7292000</v>
      </c>
      <c r="S130" s="96">
        <v>0</v>
      </c>
      <c r="T130" s="53">
        <f>+IF(Q130=0,0,R130/Q130)</f>
        <v>3.6459999999999999E-2</v>
      </c>
      <c r="U130" s="53">
        <f>+IF(R130=0,0,S130/R130)</f>
        <v>0</v>
      </c>
      <c r="V130" s="210">
        <v>44999</v>
      </c>
      <c r="W130" s="211">
        <v>45077</v>
      </c>
      <c r="X130" s="118" t="s">
        <v>355</v>
      </c>
      <c r="Y130" s="242"/>
    </row>
    <row r="131" spans="1:25" ht="25.5" x14ac:dyDescent="0.25">
      <c r="A131" s="169"/>
      <c r="B131" s="122">
        <v>54020020025</v>
      </c>
      <c r="C131" s="122" t="s">
        <v>64</v>
      </c>
      <c r="D131" s="123" t="s">
        <v>184</v>
      </c>
      <c r="E131" s="81"/>
      <c r="F131" s="65"/>
      <c r="G131" s="73"/>
      <c r="H131" s="62"/>
      <c r="I131" s="73"/>
      <c r="J131" s="73"/>
      <c r="K131" s="48"/>
      <c r="L131" s="62"/>
      <c r="M131" s="62"/>
      <c r="N131" s="138"/>
      <c r="O131" s="53"/>
      <c r="P131" s="62"/>
      <c r="Q131" s="62"/>
      <c r="R131" s="62"/>
      <c r="S131" s="62"/>
      <c r="T131" s="114"/>
      <c r="U131" s="114"/>
      <c r="V131" s="141"/>
      <c r="W131" s="141"/>
      <c r="X131" s="62"/>
      <c r="Y131" s="48"/>
    </row>
    <row r="132" spans="1:25" x14ac:dyDescent="0.25">
      <c r="A132" s="236">
        <v>4132</v>
      </c>
      <c r="B132" s="237"/>
      <c r="C132" s="237" t="s">
        <v>67</v>
      </c>
      <c r="D132" s="238" t="s">
        <v>185</v>
      </c>
      <c r="E132" s="88" t="s">
        <v>356</v>
      </c>
      <c r="F132" s="63"/>
      <c r="G132" s="88"/>
      <c r="H132" s="63"/>
      <c r="I132" s="80"/>
      <c r="J132" s="80"/>
      <c r="K132" s="88">
        <f>+K133</f>
        <v>2</v>
      </c>
      <c r="L132" s="130">
        <f>L133</f>
        <v>1</v>
      </c>
      <c r="M132" s="115">
        <f>M133</f>
        <v>0</v>
      </c>
      <c r="N132" s="69">
        <f>N133</f>
        <v>0.02</v>
      </c>
      <c r="O132" s="239">
        <f>IF(Q132&gt;0,N132,"NA")</f>
        <v>0.02</v>
      </c>
      <c r="P132" s="96">
        <f>P133</f>
        <v>2990000000</v>
      </c>
      <c r="Q132" s="96">
        <f>Q133</f>
        <v>2411336822</v>
      </c>
      <c r="R132" s="96">
        <f>R133</f>
        <v>37380000</v>
      </c>
      <c r="S132" s="96">
        <f>S133</f>
        <v>5231000</v>
      </c>
      <c r="T132" s="53">
        <f>+IF(Q132=0,0,R132/Q132)</f>
        <v>1.5501774641750982E-2</v>
      </c>
      <c r="U132" s="53">
        <f>+IF(R132=0,0,S132/R132)</f>
        <v>0.13994114499732477</v>
      </c>
      <c r="V132" s="210"/>
      <c r="W132" s="211"/>
      <c r="X132" s="62"/>
      <c r="Y132" s="241" t="s">
        <v>101</v>
      </c>
    </row>
    <row r="133" spans="1:25" ht="81" x14ac:dyDescent="0.25">
      <c r="A133" s="236"/>
      <c r="B133" s="237"/>
      <c r="C133" s="237"/>
      <c r="D133" s="238"/>
      <c r="E133" s="66" t="s">
        <v>357</v>
      </c>
      <c r="F133" s="63"/>
      <c r="G133" s="66" t="s">
        <v>184</v>
      </c>
      <c r="H133" s="63"/>
      <c r="I133" s="80" t="s">
        <v>358</v>
      </c>
      <c r="J133" s="80" t="s">
        <v>359</v>
      </c>
      <c r="K133" s="88">
        <v>2</v>
      </c>
      <c r="L133" s="130">
        <v>1</v>
      </c>
      <c r="M133" s="128">
        <v>0</v>
      </c>
      <c r="N133" s="69">
        <v>0.02</v>
      </c>
      <c r="O133" s="240"/>
      <c r="P133" s="96">
        <v>2990000000</v>
      </c>
      <c r="Q133" s="96">
        <v>2411336822</v>
      </c>
      <c r="R133" s="96">
        <v>37380000</v>
      </c>
      <c r="S133" s="96">
        <v>5231000</v>
      </c>
      <c r="T133" s="53">
        <f>+IF(Q133=0,0,R133/Q133)</f>
        <v>1.5501774641750982E-2</v>
      </c>
      <c r="U133" s="53">
        <f>+IF(R133=0,0,S133/R133)</f>
        <v>0.13994114499732477</v>
      </c>
      <c r="V133" s="210">
        <v>45343</v>
      </c>
      <c r="W133" s="211">
        <v>45657</v>
      </c>
      <c r="X133" s="118" t="s">
        <v>360</v>
      </c>
      <c r="Y133" s="242"/>
    </row>
    <row r="134" spans="1:25" x14ac:dyDescent="0.25">
      <c r="A134" s="168"/>
      <c r="B134" s="186">
        <v>5402003</v>
      </c>
      <c r="C134" s="186" t="s">
        <v>63</v>
      </c>
      <c r="D134" s="187" t="s">
        <v>186</v>
      </c>
      <c r="E134" s="61"/>
      <c r="F134" s="148"/>
      <c r="G134" s="92"/>
      <c r="H134" s="148"/>
      <c r="I134" s="61"/>
      <c r="J134" s="61"/>
      <c r="K134" s="92"/>
      <c r="L134" s="120"/>
      <c r="M134" s="120"/>
      <c r="N134" s="138"/>
      <c r="O134" s="53"/>
      <c r="P134" s="62"/>
      <c r="Q134" s="62"/>
      <c r="R134" s="62"/>
      <c r="S134" s="62"/>
      <c r="T134" s="114"/>
      <c r="U134" s="114"/>
      <c r="V134" s="213"/>
      <c r="W134" s="213"/>
      <c r="X134" s="62"/>
      <c r="Y134" s="48"/>
    </row>
    <row r="135" spans="1:25" x14ac:dyDescent="0.25">
      <c r="A135" s="169"/>
      <c r="B135" s="122">
        <v>54020030019</v>
      </c>
      <c r="C135" s="122" t="s">
        <v>64</v>
      </c>
      <c r="D135" s="123" t="s">
        <v>188</v>
      </c>
      <c r="E135" s="73"/>
      <c r="F135" s="65"/>
      <c r="G135" s="73"/>
      <c r="H135" s="62"/>
      <c r="I135" s="73"/>
      <c r="J135" s="73"/>
      <c r="K135" s="48"/>
      <c r="L135" s="62"/>
      <c r="M135" s="62"/>
      <c r="N135" s="138"/>
      <c r="O135" s="53"/>
      <c r="P135" s="62"/>
      <c r="Q135" s="62"/>
      <c r="R135" s="62"/>
      <c r="S135" s="62"/>
      <c r="T135" s="114"/>
      <c r="U135" s="114"/>
      <c r="V135" s="141"/>
      <c r="W135" s="141"/>
      <c r="X135" s="62"/>
      <c r="Y135" s="48"/>
    </row>
    <row r="136" spans="1:25" x14ac:dyDescent="0.25">
      <c r="A136" s="236">
        <v>4132</v>
      </c>
      <c r="B136" s="237"/>
      <c r="C136" s="237" t="s">
        <v>67</v>
      </c>
      <c r="D136" s="238" t="s">
        <v>189</v>
      </c>
      <c r="E136" s="88" t="s">
        <v>190</v>
      </c>
      <c r="F136" s="63"/>
      <c r="G136" s="88"/>
      <c r="H136" s="63"/>
      <c r="I136" s="80"/>
      <c r="J136" s="80"/>
      <c r="K136" s="88">
        <f>K137</f>
        <v>1</v>
      </c>
      <c r="L136" s="130">
        <f>L137+L138</f>
        <v>1</v>
      </c>
      <c r="M136" s="115">
        <f>M137+M138</f>
        <v>0</v>
      </c>
      <c r="N136" s="69">
        <f>N137+N138</f>
        <v>1.4999999999999999E-2</v>
      </c>
      <c r="O136" s="239">
        <f>IF(Q136&gt;0,N136,"na")</f>
        <v>1.4999999999999999E-2</v>
      </c>
      <c r="P136" s="96">
        <f>P137+P138</f>
        <v>1116067000</v>
      </c>
      <c r="Q136" s="96">
        <f>Q137+Q138</f>
        <v>1116067000</v>
      </c>
      <c r="R136" s="96">
        <f>R137+R138</f>
        <v>436311000</v>
      </c>
      <c r="S136" s="96">
        <f>S137+S138</f>
        <v>214682000</v>
      </c>
      <c r="T136" s="53">
        <f t="shared" ref="T136:U138" si="14">+IF(Q136=0,0,R136/Q136)</f>
        <v>0.39093620723487033</v>
      </c>
      <c r="U136" s="53">
        <f t="shared" si="14"/>
        <v>0.49203893552993161</v>
      </c>
      <c r="V136" s="210"/>
      <c r="W136" s="211"/>
      <c r="X136" s="62"/>
      <c r="Y136" s="241" t="s">
        <v>87</v>
      </c>
    </row>
    <row r="137" spans="1:25" ht="108" x14ac:dyDescent="0.25">
      <c r="A137" s="236"/>
      <c r="B137" s="237"/>
      <c r="C137" s="237"/>
      <c r="D137" s="238"/>
      <c r="E137" s="66" t="s">
        <v>233</v>
      </c>
      <c r="F137" s="248"/>
      <c r="G137" s="80" t="s">
        <v>188</v>
      </c>
      <c r="H137" s="63"/>
      <c r="I137" s="80" t="s">
        <v>191</v>
      </c>
      <c r="J137" s="80" t="s">
        <v>192</v>
      </c>
      <c r="K137" s="88">
        <v>1</v>
      </c>
      <c r="L137" s="130">
        <v>0.74</v>
      </c>
      <c r="M137" s="128">
        <v>0</v>
      </c>
      <c r="N137" s="69">
        <v>5.0000000000000001E-3</v>
      </c>
      <c r="O137" s="240"/>
      <c r="P137" s="96">
        <v>621108000</v>
      </c>
      <c r="Q137" s="96">
        <v>621108000</v>
      </c>
      <c r="R137" s="96">
        <v>264151500</v>
      </c>
      <c r="S137" s="96">
        <v>162701500</v>
      </c>
      <c r="T137" s="53">
        <f t="shared" si="14"/>
        <v>0.42529077068722348</v>
      </c>
      <c r="U137" s="53">
        <f t="shared" si="14"/>
        <v>0.61594009498337132</v>
      </c>
      <c r="V137" s="210">
        <v>45324</v>
      </c>
      <c r="W137" s="211">
        <v>45657</v>
      </c>
      <c r="X137" s="111" t="s">
        <v>361</v>
      </c>
      <c r="Y137" s="242"/>
    </row>
    <row r="138" spans="1:25" ht="108" x14ac:dyDescent="0.25">
      <c r="A138" s="243"/>
      <c r="B138" s="244"/>
      <c r="C138" s="244"/>
      <c r="D138" s="245"/>
      <c r="E138" s="82" t="s">
        <v>234</v>
      </c>
      <c r="F138" s="247"/>
      <c r="G138" s="94"/>
      <c r="H138" s="161"/>
      <c r="I138" s="112" t="s">
        <v>193</v>
      </c>
      <c r="J138" s="112" t="s">
        <v>187</v>
      </c>
      <c r="K138" s="94">
        <v>1</v>
      </c>
      <c r="L138" s="131">
        <v>0.26</v>
      </c>
      <c r="M138" s="131">
        <v>0</v>
      </c>
      <c r="N138" s="162">
        <v>0.01</v>
      </c>
      <c r="O138" s="246"/>
      <c r="P138" s="102">
        <v>494959000</v>
      </c>
      <c r="Q138" s="102">
        <v>494959000</v>
      </c>
      <c r="R138" s="102">
        <v>172159500</v>
      </c>
      <c r="S138" s="102">
        <v>51980500</v>
      </c>
      <c r="T138" s="105">
        <f t="shared" si="14"/>
        <v>0.34782577950900984</v>
      </c>
      <c r="U138" s="105">
        <f t="shared" si="14"/>
        <v>0.3019322198310288</v>
      </c>
      <c r="V138" s="217">
        <v>45324</v>
      </c>
      <c r="W138" s="218">
        <v>45657</v>
      </c>
      <c r="X138" s="132" t="s">
        <v>362</v>
      </c>
      <c r="Y138" s="247"/>
    </row>
    <row r="139" spans="1:25" x14ac:dyDescent="0.25">
      <c r="A139" s="43"/>
      <c r="B139" s="75"/>
      <c r="C139" s="74"/>
      <c r="D139" s="43"/>
      <c r="E139" s="75"/>
      <c r="F139" s="43"/>
      <c r="G139" s="43"/>
      <c r="H139" s="43"/>
      <c r="I139" s="43"/>
      <c r="J139" s="74"/>
      <c r="K139" s="74"/>
      <c r="L139" s="43"/>
      <c r="M139" s="43"/>
      <c r="N139" s="107"/>
      <c r="O139" s="76"/>
      <c r="P139" s="43"/>
      <c r="Q139" s="43"/>
      <c r="R139" s="43"/>
      <c r="S139" s="43"/>
      <c r="T139" s="55"/>
      <c r="U139" s="55"/>
      <c r="V139" s="43"/>
      <c r="W139" s="43"/>
      <c r="X139" s="45"/>
      <c r="Y139" s="104"/>
    </row>
    <row r="140" spans="1:25" x14ac:dyDescent="0.25">
      <c r="A140" s="41"/>
      <c r="B140" s="77" t="s">
        <v>37</v>
      </c>
      <c r="C140" s="42">
        <f>COUNTIF(C7:C138,"pr")</f>
        <v>29</v>
      </c>
      <c r="D140" s="41"/>
      <c r="E140" s="207" t="s">
        <v>70</v>
      </c>
      <c r="F140" s="208"/>
      <c r="G140" s="208">
        <f>COUNTIF(O10:O138,"na")</f>
        <v>0</v>
      </c>
      <c r="H140" s="42"/>
      <c r="I140" s="41"/>
      <c r="J140" s="42"/>
      <c r="K140" s="42"/>
      <c r="L140" s="108"/>
      <c r="M140" s="41"/>
      <c r="N140" s="109" t="s">
        <v>71</v>
      </c>
      <c r="O140" s="83">
        <f>AVERAGE(O10:O138)</f>
        <v>7.3217241379310349E-2</v>
      </c>
      <c r="P140" s="44">
        <f t="shared" ref="P140:S140" si="15">+P11+P14+P21+P24+P27+P31+P35+P40+P43+P50+P55+P63+P70+P74+P77+P80+P83+P89+P92+P96+P101+P105+P111+P116+P122+P126+P129+P132+P136</f>
        <v>25423593178</v>
      </c>
      <c r="Q140" s="44">
        <f t="shared" si="15"/>
        <v>25423593178</v>
      </c>
      <c r="R140" s="44">
        <f t="shared" si="15"/>
        <v>4471942000</v>
      </c>
      <c r="S140" s="44">
        <f t="shared" si="15"/>
        <v>1860036498</v>
      </c>
      <c r="T140" s="44"/>
      <c r="U140" s="44"/>
      <c r="V140" s="41"/>
      <c r="W140" s="41"/>
      <c r="X140" s="46"/>
      <c r="Y140" s="78"/>
    </row>
    <row r="141" spans="1:25" x14ac:dyDescent="0.25">
      <c r="A141" s="106"/>
      <c r="B141" s="77"/>
      <c r="C141" s="42"/>
      <c r="D141" s="77"/>
      <c r="E141" s="77"/>
      <c r="F141" s="41"/>
      <c r="G141" s="41"/>
      <c r="H141" s="42"/>
      <c r="I141" s="77"/>
      <c r="J141" s="110"/>
      <c r="K141" s="108"/>
      <c r="L141" s="108"/>
      <c r="M141" s="41"/>
      <c r="N141" s="109" t="s">
        <v>79</v>
      </c>
      <c r="O141" s="47">
        <f>COUNTIF(O10:O138,"=0%")</f>
        <v>7</v>
      </c>
      <c r="P141" s="44">
        <v>25423593178</v>
      </c>
      <c r="Q141" s="44">
        <v>25423593178</v>
      </c>
      <c r="R141" s="44">
        <v>4471942000</v>
      </c>
      <c r="S141" s="44">
        <v>1860036498</v>
      </c>
      <c r="T141" s="43"/>
      <c r="U141" s="41"/>
      <c r="V141" s="41"/>
      <c r="W141" s="41"/>
      <c r="X141" s="46"/>
      <c r="Y141" s="78"/>
    </row>
    <row r="142" spans="1:25" x14ac:dyDescent="0.25">
      <c r="A142" s="74"/>
      <c r="B142" s="43"/>
      <c r="C142" s="74"/>
      <c r="D142" s="43"/>
      <c r="E142" s="43"/>
      <c r="F142" s="43"/>
      <c r="G142" s="43"/>
      <c r="H142" s="43"/>
      <c r="I142" s="43"/>
      <c r="J142" s="74"/>
      <c r="K142" s="75"/>
      <c r="L142" s="75"/>
      <c r="M142" s="75"/>
      <c r="N142" s="43"/>
      <c r="O142" s="74"/>
      <c r="P142" s="44">
        <f t="shared" ref="P142:S142" si="16">+P141-P140</f>
        <v>0</v>
      </c>
      <c r="Q142" s="44">
        <f t="shared" si="16"/>
        <v>0</v>
      </c>
      <c r="R142" s="44">
        <f t="shared" si="16"/>
        <v>0</v>
      </c>
      <c r="S142" s="44">
        <f t="shared" si="16"/>
        <v>0</v>
      </c>
      <c r="T142" s="43"/>
      <c r="U142" s="43"/>
      <c r="V142" s="43"/>
      <c r="W142" s="43"/>
      <c r="X142" s="43"/>
      <c r="Y142" s="45"/>
    </row>
  </sheetData>
  <autoFilter ref="A5:Y6" xr:uid="{00000000-0009-0000-0000-000007000000}"/>
  <mergeCells count="217">
    <mergeCell ref="C122:C124"/>
    <mergeCell ref="D122:D124"/>
    <mergeCell ref="O122:O124"/>
    <mergeCell ref="Y122:Y124"/>
    <mergeCell ref="F123:F124"/>
    <mergeCell ref="D132:D133"/>
    <mergeCell ref="A89:A91"/>
    <mergeCell ref="B89:B91"/>
    <mergeCell ref="C89:C91"/>
    <mergeCell ref="D89:D91"/>
    <mergeCell ref="O89:O91"/>
    <mergeCell ref="Y89:Y91"/>
    <mergeCell ref="F90:F91"/>
    <mergeCell ref="A92:A94"/>
    <mergeCell ref="B92:B94"/>
    <mergeCell ref="C92:C94"/>
    <mergeCell ref="D92:D94"/>
    <mergeCell ref="O92:O94"/>
    <mergeCell ref="Y92:Y94"/>
    <mergeCell ref="A116:A120"/>
    <mergeCell ref="B116:B120"/>
    <mergeCell ref="C116:C120"/>
    <mergeCell ref="D116:D120"/>
    <mergeCell ref="O116:O120"/>
    <mergeCell ref="Y116:Y120"/>
    <mergeCell ref="F117:F120"/>
    <mergeCell ref="G117:G120"/>
    <mergeCell ref="A122:A124"/>
    <mergeCell ref="B122:B124"/>
    <mergeCell ref="A63:A65"/>
    <mergeCell ref="B63:B65"/>
    <mergeCell ref="C63:C65"/>
    <mergeCell ref="D63:D65"/>
    <mergeCell ref="O63:O65"/>
    <mergeCell ref="Y63:Y65"/>
    <mergeCell ref="A70:A73"/>
    <mergeCell ref="A77:A78"/>
    <mergeCell ref="B77:B78"/>
    <mergeCell ref="B70:B73"/>
    <mergeCell ref="C70:C73"/>
    <mergeCell ref="D70:D73"/>
    <mergeCell ref="O70:O73"/>
    <mergeCell ref="C77:C78"/>
    <mergeCell ref="D77:D78"/>
    <mergeCell ref="O77:O78"/>
    <mergeCell ref="Y77:Y78"/>
    <mergeCell ref="Y70:Y73"/>
    <mergeCell ref="A74:A75"/>
    <mergeCell ref="B74:B75"/>
    <mergeCell ref="C74:C75"/>
    <mergeCell ref="D74:D75"/>
    <mergeCell ref="O74:O75"/>
    <mergeCell ref="A14:A16"/>
    <mergeCell ref="B14:B16"/>
    <mergeCell ref="C14:C16"/>
    <mergeCell ref="D14:D16"/>
    <mergeCell ref="O14:O16"/>
    <mergeCell ref="D31:D32"/>
    <mergeCell ref="O31:O32"/>
    <mergeCell ref="F44:F45"/>
    <mergeCell ref="A50:A51"/>
    <mergeCell ref="B50:B51"/>
    <mergeCell ref="C50:C51"/>
    <mergeCell ref="D50:D51"/>
    <mergeCell ref="O50:O51"/>
    <mergeCell ref="Y14:Y16"/>
    <mergeCell ref="F15:F16"/>
    <mergeCell ref="A40:A41"/>
    <mergeCell ref="B40:B41"/>
    <mergeCell ref="C40:C41"/>
    <mergeCell ref="D40:D41"/>
    <mergeCell ref="O40:O41"/>
    <mergeCell ref="Y40:Y41"/>
    <mergeCell ref="A21:A22"/>
    <mergeCell ref="B21:B22"/>
    <mergeCell ref="C21:C22"/>
    <mergeCell ref="D21:D22"/>
    <mergeCell ref="O21:O22"/>
    <mergeCell ref="Y21:Y22"/>
    <mergeCell ref="A23:A25"/>
    <mergeCell ref="B24:B25"/>
    <mergeCell ref="C24:C25"/>
    <mergeCell ref="D24:D25"/>
    <mergeCell ref="O24:O25"/>
    <mergeCell ref="Y24:Y25"/>
    <mergeCell ref="A27:A28"/>
    <mergeCell ref="A31:A32"/>
    <mergeCell ref="B31:B32"/>
    <mergeCell ref="C31:C32"/>
    <mergeCell ref="B11:B12"/>
    <mergeCell ref="C11:C12"/>
    <mergeCell ref="D11:D12"/>
    <mergeCell ref="O11:O12"/>
    <mergeCell ref="Y11:Y12"/>
    <mergeCell ref="A11:A12"/>
    <mergeCell ref="S3:U3"/>
    <mergeCell ref="V3:W3"/>
    <mergeCell ref="W5:W6"/>
    <mergeCell ref="D5:D6"/>
    <mergeCell ref="S5:S6"/>
    <mergeCell ref="T5:T6"/>
    <mergeCell ref="V5:V6"/>
    <mergeCell ref="J5:J6"/>
    <mergeCell ref="A1:X1"/>
    <mergeCell ref="B5:B6"/>
    <mergeCell ref="C5:C6"/>
    <mergeCell ref="U5:U6"/>
    <mergeCell ref="A3:B3"/>
    <mergeCell ref="P5:P6"/>
    <mergeCell ref="Q5:Q6"/>
    <mergeCell ref="H5:H6"/>
    <mergeCell ref="F5:F6"/>
    <mergeCell ref="C3:R3"/>
    <mergeCell ref="M5:M6"/>
    <mergeCell ref="I5:I6"/>
    <mergeCell ref="R5:R6"/>
    <mergeCell ref="L5:L6"/>
    <mergeCell ref="O5:O6"/>
    <mergeCell ref="N5:N6"/>
    <mergeCell ref="A4:Y4"/>
    <mergeCell ref="K5:K6"/>
    <mergeCell ref="A2:Y2"/>
    <mergeCell ref="Y5:Y6"/>
    <mergeCell ref="G5:G6"/>
    <mergeCell ref="E5:E6"/>
    <mergeCell ref="A5:A6"/>
    <mergeCell ref="X5:X6"/>
    <mergeCell ref="Y31:Y32"/>
    <mergeCell ref="A35:A37"/>
    <mergeCell ref="B35:B37"/>
    <mergeCell ref="C35:C37"/>
    <mergeCell ref="D35:D37"/>
    <mergeCell ref="O35:O37"/>
    <mergeCell ref="Y35:Y37"/>
    <mergeCell ref="B27:B28"/>
    <mergeCell ref="C27:C28"/>
    <mergeCell ref="D27:D28"/>
    <mergeCell ref="O27:O28"/>
    <mergeCell ref="Y27:Y28"/>
    <mergeCell ref="Y50:Y51"/>
    <mergeCell ref="A55:A58"/>
    <mergeCell ref="B55:B58"/>
    <mergeCell ref="C55:C58"/>
    <mergeCell ref="D55:D58"/>
    <mergeCell ref="O55:O58"/>
    <mergeCell ref="Y55:Y58"/>
    <mergeCell ref="F57:F58"/>
    <mergeCell ref="A43:A45"/>
    <mergeCell ref="B43:B45"/>
    <mergeCell ref="C43:C45"/>
    <mergeCell ref="D43:D45"/>
    <mergeCell ref="O43:O45"/>
    <mergeCell ref="Y43:Y45"/>
    <mergeCell ref="A83:A86"/>
    <mergeCell ref="B83:B86"/>
    <mergeCell ref="C83:C86"/>
    <mergeCell ref="D83:D86"/>
    <mergeCell ref="O83:O86"/>
    <mergeCell ref="Y83:Y86"/>
    <mergeCell ref="A80:A81"/>
    <mergeCell ref="B80:B81"/>
    <mergeCell ref="C80:C81"/>
    <mergeCell ref="D80:D81"/>
    <mergeCell ref="O80:O81"/>
    <mergeCell ref="Y80:Y81"/>
    <mergeCell ref="A96:A99"/>
    <mergeCell ref="B96:B99"/>
    <mergeCell ref="C96:C99"/>
    <mergeCell ref="D96:D99"/>
    <mergeCell ref="F96:F99"/>
    <mergeCell ref="O96:O99"/>
    <mergeCell ref="Y96:Y99"/>
    <mergeCell ref="A101:A103"/>
    <mergeCell ref="B101:B103"/>
    <mergeCell ref="C101:C103"/>
    <mergeCell ref="D101:D103"/>
    <mergeCell ref="O101:O103"/>
    <mergeCell ref="Y101:Y103"/>
    <mergeCell ref="F102:F103"/>
    <mergeCell ref="A105:A109"/>
    <mergeCell ref="B105:B109"/>
    <mergeCell ref="C105:C109"/>
    <mergeCell ref="D105:D109"/>
    <mergeCell ref="O105:O109"/>
    <mergeCell ref="Y105:Y109"/>
    <mergeCell ref="F106:F109"/>
    <mergeCell ref="A111:A114"/>
    <mergeCell ref="B111:B114"/>
    <mergeCell ref="C111:C114"/>
    <mergeCell ref="D111:D114"/>
    <mergeCell ref="O111:O114"/>
    <mergeCell ref="Y111:Y114"/>
    <mergeCell ref="F112:F114"/>
    <mergeCell ref="A126:A127"/>
    <mergeCell ref="B126:B127"/>
    <mergeCell ref="C126:C127"/>
    <mergeCell ref="D126:D127"/>
    <mergeCell ref="O126:O127"/>
    <mergeCell ref="Y126:Y127"/>
    <mergeCell ref="O132:O133"/>
    <mergeCell ref="Y132:Y133"/>
    <mergeCell ref="A136:A138"/>
    <mergeCell ref="B136:B138"/>
    <mergeCell ref="C136:C138"/>
    <mergeCell ref="D136:D138"/>
    <mergeCell ref="O136:O138"/>
    <mergeCell ref="Y136:Y138"/>
    <mergeCell ref="F137:F138"/>
    <mergeCell ref="A129:A130"/>
    <mergeCell ref="B129:B130"/>
    <mergeCell ref="C129:C130"/>
    <mergeCell ref="D129:D130"/>
    <mergeCell ref="O129:O130"/>
    <mergeCell ref="Y129:Y130"/>
    <mergeCell ref="A132:A133"/>
    <mergeCell ref="B132:B133"/>
    <mergeCell ref="C132:C133"/>
  </mergeCells>
  <printOptions horizontalCentered="1"/>
  <pageMargins left="0.51181102362204722" right="0.51181102362204722" top="0.78740157480314965" bottom="1.1811023622047245" header="0.78740157480314965" footer="0.78740157480314965"/>
  <pageSetup paperSize="529" scale="43" firstPageNumber="4" orientation="landscape" r:id="rId1"/>
  <headerFooter>
    <oddFooter>&amp;L&amp;"Arial,Normal"&amp;8Este documento es propiedad de la Administración Central del Municipio de Santiago de Cali. Prohibida su reproducción por cualquier medio, sin previa autorización del señor Alcalde.   &amp;R&amp;"Arial,Normal"&amp;8Página &amp;P de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Marzo de 2024</vt:lpstr>
      <vt:lpstr>4132 Planeacion</vt:lpstr>
      <vt:lpstr>'4132 Planeacion'!Títulos_a_imprimir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GUIDO ESCOBAR</dc:creator>
  <cp:lastModifiedBy>Jonny Ever Zambrano Zuñiga</cp:lastModifiedBy>
  <cp:lastPrinted>2022-12-19T19:44:57Z</cp:lastPrinted>
  <dcterms:created xsi:type="dcterms:W3CDTF">2012-02-09T15:02:40Z</dcterms:created>
  <dcterms:modified xsi:type="dcterms:W3CDTF">2024-06-24T14:45:23Z</dcterms:modified>
</cp:coreProperties>
</file>